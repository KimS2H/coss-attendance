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개요" state="visible" r:id="rId4"/>
    <sheet sheetId="2" name="기능 요구사항" state="visible" r:id="rId5"/>
    <sheet sheetId="3" name="비기능 요구사항" state="visible" r:id="rId6"/>
    <sheet sheetId="4" name="화면 목록" state="visible" r:id="rId7"/>
    <sheet sheetId="5" name="화면 상세" state="visible" r:id="rId8"/>
    <sheet sheetId="6" name="엑셀 양식" state="visible" r:id="rId9"/>
    <sheet sheetId="7" name="미확정 사항" state="visible" r:id="rId10"/>
  </sheets>
  <calcPr calcId="171027" fullCalcOnLoad="1"/>
</workbook>
</file>

<file path=xl/sharedStrings.xml><?xml version="1.0" encoding="utf-8"?>
<sst xmlns="http://schemas.openxmlformats.org/spreadsheetml/2006/main" count="2316" uniqueCount="1136">
  <si>
    <t>IoT 혁신융합대학 비교과 출석체크 — 요구사항·화면 설계서</t>
  </si>
  <si>
    <t>버전 v0.6.1 (구현 내용 반영) · 작성일 2026-10-29 · 관련 문서: docs/usecase.md, docs/architecture.md</t>
  </si>
  <si>
    <t>확정된 설계 결정</t>
  </si>
  <si>
    <t>서버</t>
  </si>
  <si>
    <t>사무실 PC 1대 + Tailscale Funnel(고정 주소 ○○.ts.net, 도메인·포트 개방 없음) + Docker Compose. 학교 네트워크 사용 허용. 개발 PC와 서버 PC는 별개</t>
  </si>
  <si>
    <t>출석 판정</t>
  </si>
  <si>
    <t>GPS(건물 범위) + 강의실 코드(4자리, 30초마다 변경)를 함께 사용</t>
  </si>
  <si>
    <t>대리출석 방지</t>
  </si>
  <si>
    <t>최초 로그인 기기를 계정에 묶고(기기 쿠키), 같은 수업에서 같은 기기로 두 계정이 출석하면 기기 주인이 아닌 계정을 자동 취소. 불이익: 벌점 / 수료 불가 / 출석 취소</t>
  </si>
  <si>
    <t>총관리자 접속</t>
  </si>
  <si>
    <t>Tailscale로 연결된 인증 PC에서만 접속 + ID/PW + OTP</t>
  </si>
  <si>
    <t>데이터</t>
  </si>
  <si>
    <t>PostgreSQL(원본) + Redis(세션 3시간, 요청 횟수). 강의실 코드는 저장하지 않고 30초마다 계산</t>
  </si>
  <si>
    <t>인솔자 로그인</t>
  </si>
  <si>
    <t>공동 로그인 화면 → 2차 인증(학교 코드 4자리, 학교별 고정, 총관리자만 변경)</t>
  </si>
  <si>
    <t>미등록 기기</t>
  </si>
  <si>
    <t>인솔자 승인 후 출석 인정. 로그 기록 + 담당 인솔자에게 화면 알림·이메일</t>
  </si>
  <si>
    <t>출석 규칙</t>
  </si>
  <si>
    <t>시작 5분 전 ~ 5분 후 출석, 이후 종료까지 지각, 종료 후 결석 · GPS 반경 기본 50m</t>
  </si>
  <si>
    <t>기술 스택</t>
  </si>
  <si>
    <t>TypeScript: React(반응형·PWA) + NestJS · 휴대폰·태블릿·노트북 지원</t>
  </si>
  <si>
    <t>출결 변경</t>
  </si>
  <si>
    <t>인솔자는 신청만 하고, 총관리자가 승인·미승인한 뒤 반영</t>
  </si>
  <si>
    <t>문의·오류</t>
  </si>
  <si>
    <t>학생 문의 → 인솔자 처리(어려우면 총관리자 이관) / 인솔자 문의 → 총관리자. 모든 기록은 총관리자 열람</t>
  </si>
  <si>
    <t>알림 · 보유기간</t>
  </si>
  <si>
    <t>알림은 이메일 · 개인정보는 프로그램 종료 후 1년 뒤 파기</t>
  </si>
  <si>
    <t>키 컬러</t>
  </si>
  <si>
    <t>짙은 남색 #1E3A8A</t>
  </si>
  <si>
    <t>서비스 이름</t>
  </si>
  <si>
    <t>🎓 IoT 혁신융합대학 비교과 출석체크 · 모든 화면 상단에 IoT COSS 로고</t>
  </si>
  <si>
    <t>운영 시작</t>
  </si>
  <si>
    <t>2026-11-05 (첫 수업)</t>
  </si>
  <si>
    <t>구현 현황</t>
  </si>
  <si>
    <t>2026-10-29: 핵심 기능 구현·자동 테스트 완료. 남은 일과 일정은 docs/진행상황.md</t>
  </si>
  <si>
    <t>AI 모니터</t>
  </si>
  <si>
    <t>사용하지 않음 (예산 없음). 상태 점검 + 이메일 + Docker 자동 재시작</t>
  </si>
  <si>
    <t>이메일 발송 계정</t>
  </si>
  <si>
    <t>첫 설정 화면에서 총관리자가 입력 (코드·저장소에는 넣지 않음)</t>
  </si>
  <si>
    <t>코드 저장소</t>
  </si>
  <si>
    <t>GitHub 공개 저장소 · 비밀 정보·DB 내용·실제 접속 주소는 올리지 않음</t>
  </si>
  <si>
    <t>시트 안내</t>
  </si>
  <si>
    <t>기능 요구사항</t>
  </si>
  <si>
    <t>사용자별 기능 요구사항 (ID, 우선순위, 출처, 상태, 관련 유스케이스·화면)</t>
  </si>
  <si>
    <t>비기능 요구사항</t>
  </si>
  <si>
    <t>보안, 개인정보, 성능, 가용성, 호환성, 운영, 디자인</t>
  </si>
  <si>
    <t>화면 목록</t>
  </si>
  <si>
    <t>전체 화면과 경로(URL), 접속 경로(공개 주소 / Tailscale 전용)</t>
  </si>
  <si>
    <t>화면 상세</t>
  </si>
  <si>
    <t>주요 화면의 구성 요소, 표시 내용, 동작 규칙</t>
  </si>
  <si>
    <t>엑셀 양식</t>
  </si>
  <si>
    <t>일괄 등록용 업로드 템플릿 컬럼과 출석 로그 다운로드 컬럼</t>
  </si>
  <si>
    <t>미확정 사항</t>
  </si>
  <si>
    <t>결정이 필요한 항목. 노란 칸에 결정 내용을 적는다</t>
  </si>
  <si>
    <t>범례</t>
  </si>
  <si>
    <t>우선순위</t>
  </si>
  <si>
    <t>필수: 1차 오픈에 반드시 포함 · 권장: 가능하면 1차에 포함 · 선택: 이후 추가</t>
  </si>
  <si>
    <t>출처</t>
  </si>
  <si>
    <t>사용자 요구: 원래 요구사항 · 결정 사항: 설계 중 확정한 내용 · 추천: 설계 검토 중 제안한 기능</t>
  </si>
  <si>
    <t>상태</t>
  </si>
  <si>
    <t>확정: 그대로 진행 · 검토 필요: 제안한 내용으로 검토 대기 · 미확정: 결정이 필요함 ("미확정 사항" 시트 참고)</t>
  </si>
  <si>
    <t>입력 칸</t>
  </si>
  <si>
    <t>노란 칸은 직접 입력하는 칸 ("미확정 사항" 시트의 결정 내용)</t>
  </si>
  <si>
    <t>기능 요구사항 집계 (자동 계산)</t>
  </si>
  <si>
    <t>사용자</t>
  </si>
  <si>
    <t>필수</t>
  </si>
  <si>
    <t>권장</t>
  </si>
  <si>
    <t>선택</t>
  </si>
  <si>
    <t>합계</t>
  </si>
  <si>
    <t>미확정</t>
  </si>
  <si>
    <t>학생</t>
  </si>
  <si>
    <t>인솔자</t>
  </si>
  <si>
    <t>운영자 공통</t>
  </si>
  <si>
    <t>총관리자</t>
  </si>
  <si>
    <t>시스템</t>
  </si>
  <si>
    <t>진행 현황 (자동 계산)</t>
  </si>
  <si>
    <t>기능 요구사항 수</t>
  </si>
  <si>
    <t>비기능 요구사항 수</t>
  </si>
  <si>
    <t>화면 수</t>
  </si>
  <si>
    <t>남은 항목 수 (미결정·확인 대기)</t>
  </si>
  <si>
    <t>사용자: 학생 · 인솔자 · 운영자 공통(인솔자+총관리자) · 총관리자 · 시스템 / 유스케이스 ID는 docs/usecase.md 기준</t>
  </si>
  <si>
    <t>ID</t>
  </si>
  <si>
    <t>기능 영역</t>
  </si>
  <si>
    <t>요구사항명</t>
  </si>
  <si>
    <t>상세 내용</t>
  </si>
  <si>
    <t>유스케이스</t>
  </si>
  <si>
    <t>관련 화면</t>
  </si>
  <si>
    <t>비고</t>
  </si>
  <si>
    <t>STU-01</t>
  </si>
  <si>
    <t>로그인</t>
  </si>
  <si>
    <t>학교·학번·이름 로그인</t>
  </si>
  <si>
    <t>학생·인솔자 공동 로그인 화면에서 "학생"을 선택하고, 학교(드롭다운)·학번·이름을 입력한다. 등록된 학생 정보와 일치해야 로그인된다.</t>
  </si>
  <si>
    <t>사용자 요구</t>
  </si>
  <si>
    <t>확정</t>
  </si>
  <si>
    <t>S01</t>
  </si>
  <si>
    <t>S-01</t>
  </si>
  <si>
    <t/>
  </si>
  <si>
    <t>STU-02</t>
  </si>
  <si>
    <t>사용자 저장</t>
  </si>
  <si>
    <t>체크하면 학교·학번·이름 입력값을 기기에 기억해 다음 방문 때 자동 입력한다. 로그인 세션 자체는 3시간 후 만료된다.</t>
  </si>
  <si>
    <t>자동 로그인과 3시간 만료가 충돌해 "입력값 기억"으로 조정</t>
  </si>
  <si>
    <t>STU-03</t>
  </si>
  <si>
    <t>로그인 유지와 3시간 만료</t>
  </si>
  <si>
    <t>새로고침해도 로그인 정보가 유지되며, 로그인 후 3시간이 지나면 자동으로 만료된다.</t>
  </si>
  <si>
    <t>S01, X02</t>
  </si>
  <si>
    <t>S-01, S-03</t>
  </si>
  <si>
    <t>세션 길이에 대한 법적 제한 없음</t>
  </si>
  <si>
    <t>STU-04</t>
  </si>
  <si>
    <t>공통</t>
  </si>
  <si>
    <t>상단 사용자 정보 표시</t>
  </si>
  <si>
    <t>로그인 후 화면 상단에 "00대 00과 홍길동(학번)" 형식으로 표시한다. 예: 한국대 컴퓨터공학과 홍길동(20231234)</t>
  </si>
  <si>
    <t>S04</t>
  </si>
  <si>
    <t>S-03</t>
  </si>
  <si>
    <t>2026-10-28 결정 (소속 먼저)</t>
  </si>
  <si>
    <t>STU-05</t>
  </si>
  <si>
    <t>동의</t>
  </si>
  <si>
    <t>개인정보·위치정보 동의</t>
  </si>
  <si>
    <t>최초 로그인 시 개인정보 수집·이용 동의와 위치정보 이용 동의를 받는다. 동의 이력(일시, 동의서 버전)을 저장한다.</t>
  </si>
  <si>
    <t>S02</t>
  </si>
  <si>
    <t>S-02</t>
  </si>
  <si>
    <t>위치 동의 거부 시 대체 출석 수단 안내 (NFR-PRV-03)</t>
  </si>
  <si>
    <t>STU-06</t>
  </si>
  <si>
    <t>기기</t>
  </si>
  <si>
    <t>최초 로그인 기기 등록</t>
  </si>
  <si>
    <t>최초 로그인 시 브라우저의 기기 쿠키(서버가 준 임의 값, DB에는 해시만 저장)를 계정에 묶는다. 그 기기가 다른 학생의 등록 기기이면 묶지 않는다. 이후 출석 때마다 같은 기기인지 확인한다.</t>
  </si>
  <si>
    <t>결정 사항</t>
  </si>
  <si>
    <t>S03</t>
  </si>
  <si>
    <t>2026-10-28 결정 (대리출석 방지)</t>
  </si>
  <si>
    <t>STU-07</t>
  </si>
  <si>
    <t>등록되지 않은 기기 처리</t>
  </si>
  <si>
    <t xml:space="preserve">등록된 기기와 다른 기기로 로그인하면 인솔자 승인이 있어야 출석이 인정된다.
학생 화면에 "등록되지 않은 기기예요"와 빨간 느낌표로 "해당 기기의 아이디가 아니에요"를 표시하고, 경고 문구 "대리 출석의 경우 벌점, 수료 불가, 출석 취소 등 불이익이 있습니다. 같은 기기로 두 계정이 출석하면 기기 주인이 아닌 계정의 출석이 취소됩니다."를 함께 보여준다.
위치·코드 확인 결과는 "기기 승인 대기"로 저장하고, 인솔자가 승인하면 승인한 시각 기준으로 출석 규칙(STU-14)을 적용한다 (수업 종료 후 승인이면 결석 유지, 기기만 등록).
이 기기의 주인이 같은 수업에 출석했거나 다른 계정이 먼저 출석했다면, 승인 대기 없이 바로 출석 취소한다(SYS-08).
로그를 남기고 담당 인솔자에게 화면 알림 + 이메일을 보낸다.</t>
  </si>
  <si>
    <t>S03, T04</t>
  </si>
  <si>
    <t>S-03, L-08</t>
  </si>
  <si>
    <t>2026-10-28 결정. 경고 문구는 사용자 지정 (불이익 내용 반영)</t>
  </si>
  <si>
    <t>STU-08</t>
  </si>
  <si>
    <t>출석</t>
  </si>
  <si>
    <t>날짜 자동 인식</t>
  </si>
  <si>
    <t>출석 날짜는 서버 날짜로 자동 결정되며 사용자가 바꿀 수 없다. 폰 시간이 틀려도 서버 시간 기준으로 판정한다.</t>
  </si>
  <si>
    <t>STU-09</t>
  </si>
  <si>
    <t>수업 정보 표시</t>
  </si>
  <si>
    <t xml:space="preserve">출석 버튼 약간 위에 "0교시 | 과목명"을 표시한다. 출석 전과 후 모두 표시한다.
하루 여러 교시를 들으므로 지금 출석할 수 있는 수업을 기준으로 버튼을 보여주고, 그 아래에 오늘 수업 목록(교시·과목·장소·상태)을 보여준다.</t>
  </si>
  <si>
    <t>요구사항 3-4의 "로그인 전"은 "출석 전"으로 해석. 교시마다 장소가 다를 수 있음</t>
  </si>
  <si>
    <t>STU-10</t>
  </si>
  <si>
    <t>출석 버튼 (미출 상태)</t>
  </si>
  <si>
    <t>출석 전에는 버튼 가운데 "미출"을 표시한다. 버튼을 누르면 위치 확인과 코드 입력을 진행한다.</t>
  </si>
  <si>
    <t>S05</t>
  </si>
  <si>
    <t>S-03, S-04</t>
  </si>
  <si>
    <t>STU-11</t>
  </si>
  <si>
    <t>GPS 위치 확인</t>
  </si>
  <si>
    <t>브라우저 위치 기능으로 현재 좌표를 받아 수업 장소 좌표와의 거리를 계산한다. 허용 반경 안이면 통과한다. 거리와 정확도를 기록한다.</t>
  </si>
  <si>
    <t>S06</t>
  </si>
  <si>
    <t>S-04</t>
  </si>
  <si>
    <t>브라우저 위치 기능은 무료. 지도 API는 쓰지 않음</t>
  </si>
  <si>
    <t>STU-12</t>
  </si>
  <si>
    <t>강의실 코드 입력</t>
  </si>
  <si>
    <t>인솔자가 강의실 화면에 띄운 4자리 숫자 코드(30초마다 변경)를 입력한다.</t>
  </si>
  <si>
    <t>S07</t>
  </si>
  <si>
    <t>2026-10-28 결정 (같은 건물에서 GPS 보완)</t>
  </si>
  <si>
    <t>STU-13</t>
  </si>
  <si>
    <t>출석 완료 표시</t>
  </si>
  <si>
    <t>출석이 인정되면 버튼을 비활성화하고 "출석" 문구를 표시한다.</t>
  </si>
  <si>
    <t>S-03, S-05</t>
  </si>
  <si>
    <t>지각이면 "지각" 표시 (STU-14)</t>
  </si>
  <si>
    <t>STU-14</t>
  </si>
  <si>
    <t>출석 가능 시간</t>
  </si>
  <si>
    <t xml:space="preserve">수업 시작 5분 전 ~ 시작 후 5분: 출석
시작 후 5분 ~ 수업 종료: 지각
수업 종료 후: 출석 불가, 자동 결석 (SYS-01)</t>
  </si>
  <si>
    <t>S05, X01</t>
  </si>
  <si>
    <t>2026-10-28 결정</t>
  </si>
  <si>
    <t>STU-15</t>
  </si>
  <si>
    <t>실패 원인 안내</t>
  </si>
  <si>
    <t>위치 권한 거부, 반경 밖, 코드 오류·만료, 출석 시간 아님 등 실패 원인별로 메시지와 다음 행동을 안내한다.</t>
  </si>
  <si>
    <t>추천</t>
  </si>
  <si>
    <t>검토 필요</t>
  </si>
  <si>
    <t>S-05</t>
  </si>
  <si>
    <t>STU-16</t>
  </si>
  <si>
    <t>문의</t>
  </si>
  <si>
    <t>문의·오류 신고</t>
  </si>
  <si>
    <t xml:space="preserve">모든 학생 화면 상단의 "문의" 버튼과 출석 실패·승인 대기·출석 취소 화면의 링크로 들어간다. 분류를 고르고 내용을 적어 문의한다.
분류: 출석 불가 / 위치 인식 불가 / 코드 입력 불가 / 로그인 불가 / 기기 변경·분실 / 수업 정보 오류 / 기타
기기 정보, 마지막 출석 시도 결과, 앱 버전을 자동으로 함께 보낸다 (좌표 제외). 담당 인솔자가 처리하고, 상태와 답변을 "내 문의"에서 확인한다.</t>
  </si>
  <si>
    <t>S08</t>
  </si>
  <si>
    <t>S-06</t>
  </si>
  <si>
    <t>2026-10-28 결정. 기존 이의신청을 문의로 통합. 출석 인정이 필요하면 인솔자가 출결 변경 신청(LDR-08)</t>
  </si>
  <si>
    <t>STU-17</t>
  </si>
  <si>
    <t>조회</t>
  </si>
  <si>
    <t>내 출석 내역</t>
  </si>
  <si>
    <t>본인의 날짜별 출석 상태를 조회한다.</t>
  </si>
  <si>
    <t>-</t>
  </si>
  <si>
    <t>S-07</t>
  </si>
  <si>
    <t>STU-18</t>
  </si>
  <si>
    <t>홈 화면 추가 (PWA)</t>
  </si>
  <si>
    <t>앱 설치 없이 홈 화면에 아이콘을 추가해 앱처럼 쓸 수 있다.</t>
  </si>
  <si>
    <t>전체</t>
  </si>
  <si>
    <t>LDR-01</t>
  </si>
  <si>
    <t>공동 로그인 + 학교 코드 2차 인증</t>
  </si>
  <si>
    <t xml:space="preserve">공동 로그인 화면에서 "담당자"를 선택하고 학교(드롭다운)·직번·이름을 입력한다. 사용자 저장 체크박스를 제공한다.
이어서 2차 인증 화면에서 학교 코드 4자리를 입력한다. 학교 코드는 학교별로 정해지며 자동으로 바뀌지 않는다.</t>
  </si>
  <si>
    <t>T01</t>
  </si>
  <si>
    <t>S-01, L-01</t>
  </si>
  <si>
    <t>2026-10-28 결정. 코드 변경은 총관리자만 (ADM-11)</t>
  </si>
  <si>
    <t>LDR-02</t>
  </si>
  <si>
    <t>상단 담당자 표시</t>
  </si>
  <si>
    <t>화면 상단에 "00대 담당자: 000님"을 표시한다.</t>
  </si>
  <si>
    <t>L-02 외 전체</t>
  </si>
  <si>
    <t>LDR-03</t>
  </si>
  <si>
    <t>출석 현황</t>
  </si>
  <si>
    <t>담당 학교 출석 현황 조회</t>
  </si>
  <si>
    <t xml:space="preserve">담당 학교 학생의 출석 로그를 표로 보여준다.
컬럼: 학번 | 이름 | 위치 | 날짜 | 참가여부 | 동일기기 의심여부
날짜·수업·상태·검색 필터를 제공한다.</t>
  </si>
  <si>
    <t>O01</t>
  </si>
  <si>
    <t>L-02</t>
  </si>
  <si>
    <t>LDR-04</t>
  </si>
  <si>
    <t>출석 요약</t>
  </si>
  <si>
    <t>선택한 날짜·수업의 전체 인원, 출석, 지각, 미출, 의심 인원을 요약 카드로 보여준다.</t>
  </si>
  <si>
    <t>LDR-05</t>
  </si>
  <si>
    <t>동일기기 의심 표시</t>
  </si>
  <si>
    <t xml:space="preserve">같은 기기로 같은 수업에 2명 이상 출석했거나, 등록되지 않은 기기로 출석한 경우 "의심"으로 표시한다.
같은 기기로 두 계정이 출석하면 기기 주인이 아닌 계정을 시스템이 자동으로 출석 취소한다(SYS-08). 표에는 "대리 출석 · 자동 취소"로 보인다.
정당한 사유가 있으면(예: 휴대폰 고장으로 친구 기기를 빌림) 인솔자가 출결 변경을 신청한다.</t>
  </si>
  <si>
    <t>IP만으로는 판단하지 않음. 2026-10-28 결정 (기기 주인 유지, 다른 계정 취소)</t>
  </si>
  <si>
    <t>LDR-06</t>
  </si>
  <si>
    <t>Excel·CSV 다운로드</t>
  </si>
  <si>
    <t>현재 필터 기준의 출석 로그를 Excel(.xlsx) 또는 CSV로 내려받는다.</t>
  </si>
  <si>
    <t>O03</t>
  </si>
  <si>
    <t>컬럼 정의는 "엑셀 양식" 시트</t>
  </si>
  <si>
    <t>LDR-07</t>
  </si>
  <si>
    <t>출석 코드</t>
  </si>
  <si>
    <t>강의실 코드 띄우기</t>
  </si>
  <si>
    <t>선택한 수업의 4자리 코드를 전체 화면으로 띄운다. 30초마다 바뀌며 남은 시간과 출석 인원을 함께 보여준다.</t>
  </si>
  <si>
    <t>T02</t>
  </si>
  <si>
    <t>L-03</t>
  </si>
  <si>
    <t>빔프로젝터·노트북 화면용</t>
  </si>
  <si>
    <t>LDR-08</t>
  </si>
  <si>
    <t>출석 관리</t>
  </si>
  <si>
    <t>출결 변경 신청</t>
  </si>
  <si>
    <t xml:space="preserve">인솔자는 출석 상태를 직접 바꾸지 않고 변경을 신청한다: 학생·수업, 현재 상태 → 변경 후 상태(출석/지각/결석/공결), 사유(필수), 연결된 문의.
총관리자가 승인하면 반영되고, 미승인이면 사유와 함께 돌려받는다.
10분 안에 총관리자가 답하지 않으면 우선 거절된다(SYS-07). 총관리자가 나중에 다시 확인해 승인할 수 있으므로 다시 신청하지 않아도 된다.
신청 내역과 결과는 문의함에서 확인한다.</t>
  </si>
  <si>
    <t>O02</t>
  </si>
  <si>
    <t>L-04, L-05</t>
  </si>
  <si>
    <t>2026-10-28 결정 (직접 수정 → 신청·승인)</t>
  </si>
  <si>
    <t>LDR-09</t>
  </si>
  <si>
    <t>학생 문의 처리</t>
  </si>
  <si>
    <t xml:space="preserve">담당 학교 학생의 문의에 답변하고 해결 처리한다. 해결이 어려우면 총관리자에게 넘긴다(이관). 출석 인정이 필요하면 출결 변경 신청과 연결한다.
새 문의는 화면 알림 + 이메일로 받는다.</t>
  </si>
  <si>
    <t>T03</t>
  </si>
  <si>
    <t>L-05</t>
  </si>
  <si>
    <t>2026-10-28 결정. 학생 문의 기록은 총관리자도 열람</t>
  </si>
  <si>
    <t>LDR-10</t>
  </si>
  <si>
    <t>학생·수강</t>
  </si>
  <si>
    <t>수강 정보 추가·수정·삭제</t>
  </si>
  <si>
    <t>학생의 수강 정보에 오류가 있으면 수업을 추가, 수정, 삭제한다. 변경 이력을 남긴다.</t>
  </si>
  <si>
    <t>O05</t>
  </si>
  <si>
    <t>L-06</t>
  </si>
  <si>
    <t>2026-10-28 확인 (요구사항 5번)</t>
  </si>
  <si>
    <t>LDR-11</t>
  </si>
  <si>
    <t>학생 기기 초기화</t>
  </si>
  <si>
    <t>폰 교체·분실 시 학생의 기기 등록을 해제해 새 기기로 다시 등록할 수 있게 한다.</t>
  </si>
  <si>
    <t>O06</t>
  </si>
  <si>
    <t>기기 묶기(STU-06) 도입에 따라 필요</t>
  </si>
  <si>
    <t>LDR-12</t>
  </si>
  <si>
    <t>미등록 기기 승인</t>
  </si>
  <si>
    <t>학생이 등록되지 않은 기기로 출석하면 화면 알림 배지와 이메일을 받는다. 요청 목록에서 학생, 요청 시각, 기기 정보, 위치·코드 확인 결과를 보고 승인 또는 거절한다.</t>
  </si>
  <si>
    <t>T04</t>
  </si>
  <si>
    <t>L-08</t>
  </si>
  <si>
    <t>2026-10-28 결정. 승인·거절도 로그에 기록</t>
  </si>
  <si>
    <t>LDR-13</t>
  </si>
  <si>
    <t>총관리자에게 문의·오류 신고</t>
  </si>
  <si>
    <t xml:space="preserve">인솔자에게 생긴 문제나 해결하지 못한 문제를 총관리자에게 신고한다.
분류: 정보 변경 불가 / 학생 인식 불가 / 엑셀 등록 오류 / 강의실 코드 표시 오류 / 출석 현황·다운로드 오류 / 로그인·학교 코드 문제 / 알림·이메일 미수신 / 기타</t>
  </si>
  <si>
    <t>T05</t>
  </si>
  <si>
    <t>2026-10-28 결정. 분류는 제안안</t>
  </si>
  <si>
    <t>COM-01</t>
  </si>
  <si>
    <t>엑셀 등록</t>
  </si>
  <si>
    <t>학생·수강정보 일괄 등록</t>
  </si>
  <si>
    <t xml:space="preserve">엑셀을 올려 학생 정보와 수강 정보를 한 번에 등록한다.
순서: 템플릿 다운로드 → 업로드 → 행별 오류 미리보기 → 확정</t>
  </si>
  <si>
    <t>O04</t>
  </si>
  <si>
    <t>L-07, A-05</t>
  </si>
  <si>
    <t>인솔자와 총관리자에게 제공</t>
  </si>
  <si>
    <t>COM-02</t>
  </si>
  <si>
    <t>업로드 검증과 중복 처리</t>
  </si>
  <si>
    <t>필수값 누락, 형식 오류, 없는 수업, 중복 학번을 행별로 표시한다. 이미 있는 학생은 갱신 또는 건너뛰기 중 선택한다.</t>
  </si>
  <si>
    <t>COM-03</t>
  </si>
  <si>
    <t>권한</t>
  </si>
  <si>
    <t>데이터 접근 범위</t>
  </si>
  <si>
    <t>인솔자는 담당 학교 데이터만, 총관리자는 모든 학교 데이터를 보고 수정할 수 있다.</t>
  </si>
  <si>
    <t>O01~O06</t>
  </si>
  <si>
    <t>COM-04</t>
  </si>
  <si>
    <t>수정 이력 기록</t>
  </si>
  <si>
    <t>출석 수정, 엑셀 등록, 기기 초기화 등 운영자 작업을 누가 언제 했는지 기록한다.</t>
  </si>
  <si>
    <t>ADM-01</t>
  </si>
  <si>
    <t>접속</t>
  </si>
  <si>
    <t>인증 PC에서만 접속</t>
  </si>
  <si>
    <t>Tailscale 사설망에 연결된 인증 PC에서만 관리자 화면이 열린다. 공개 주소(Funnel)로 들어온 /admin 요청은 차단한다.</t>
  </si>
  <si>
    <t>A01</t>
  </si>
  <si>
    <t>A-01</t>
  </si>
  <si>
    <t>"사무실 PC와 인증된 몇몇 PC만" 요구 반영</t>
  </si>
  <si>
    <t>ADM-02</t>
  </si>
  <si>
    <t>ID/PW + OTP 로그인</t>
  </si>
  <si>
    <t>아이디·비밀번호와 OTP 앱(Google Authenticator 등)의 6자리 코드로 로그인한다.</t>
  </si>
  <si>
    <t>"특별 로그인 방식" 요구에 대한 제안</t>
  </si>
  <si>
    <t>ADM-03</t>
  </si>
  <si>
    <t>전체 출석 현황 조회</t>
  </si>
  <si>
    <t>모든 학교 학생의 출석 현황을 학교 필터와 함께 조회하고 다운로드한다.</t>
  </si>
  <si>
    <t>A-02</t>
  </si>
  <si>
    <t>ADM-04</t>
  </si>
  <si>
    <t>계정</t>
  </si>
  <si>
    <t>학교·인솔자 계정 관리</t>
  </si>
  <si>
    <t>학교를 등록하고 인솔자 계정을 만들고 권한(보기/수정)을 정한다. 학교당 인솔자 3명 이상.</t>
  </si>
  <si>
    <t>A02</t>
  </si>
  <si>
    <t>A-03</t>
  </si>
  <si>
    <t>ADM-05</t>
  </si>
  <si>
    <t>장소·일정</t>
  </si>
  <si>
    <t>장소 관리</t>
  </si>
  <si>
    <t>수업 장소의 이름, 좌표, 허용 반경(m)을 관리한다. 허용 반경 기본값은 50m이며 장소별로 바꿀 수 있다.</t>
  </si>
  <si>
    <t>A05</t>
  </si>
  <si>
    <t>A-04</t>
  </si>
  <si>
    <t>2026-10-28 결정 (50m)</t>
  </si>
  <si>
    <t>ADM-06</t>
  </si>
  <si>
    <t>수업 일정 관리</t>
  </si>
  <si>
    <t>과목명, 날짜, 교시, 시작·종료 시각, 장소를 관리한다. 하루 여러 교시이며 교시마다 장소를 따로 지정할 수 있다.</t>
  </si>
  <si>
    <t>출석 가능 시간은 STU-14 규칙으로 자동 계산</t>
  </si>
  <si>
    <t>ADM-07</t>
  </si>
  <si>
    <t>장애</t>
  </si>
  <si>
    <t>장애 현황 확인</t>
  </si>
  <si>
    <t>API, DB, Redis, Funnel(공개 주소), 디스크, 백업 상태를 정상/경고/장애로 보여주고 최근 오류와 알림 이력을 표시한다.</t>
  </si>
  <si>
    <t>A03</t>
  </si>
  <si>
    <t>A-06</t>
  </si>
  <si>
    <t>ADM-08</t>
  </si>
  <si>
    <t>AI 원인 분석</t>
  </si>
  <si>
    <t>장애 발생 시 로그를 Claude API로 분석해 원인과 권장 조치를 요약한다.</t>
  </si>
  <si>
    <t>제외</t>
  </si>
  <si>
    <t>2026-10-29 결정: 예산이 없어 만들지 않음 (상태 점검·이메일·자동 재시작으로 대응)</t>
  </si>
  <si>
    <t>ADM-09</t>
  </si>
  <si>
    <t>AI 조치 실행·승인</t>
  </si>
  <si>
    <t>허용 목록에 있는 조치(컨테이너 재시작 등)만 자동 실행하고, 코드 수정 등 나머지는 총관리자 승인 후 적용한다.</t>
  </si>
  <si>
    <t>2026-10-29 결정: 예산이 없어 만들지 않음. 컨테이너 재시작은 Docker가 자동으로 함</t>
  </si>
  <si>
    <t>ADM-10</t>
  </si>
  <si>
    <t>백업</t>
  </si>
  <si>
    <t>백업 관리</t>
  </si>
  <si>
    <t>백업 목록과 성공 여부를 확인하고 수동 백업·복원을 실행한다.</t>
  </si>
  <si>
    <t>X03</t>
  </si>
  <si>
    <t>A-07</t>
  </si>
  <si>
    <t>ADM-11</t>
  </si>
  <si>
    <t>학교 코드 관리</t>
  </si>
  <si>
    <t>학교별 4자리 학교 코드를 발급하고 변경한다. 코드는 자동으로 바뀌지 않으며, 바꾼 코드는 총관리자가 해당 학교 인솔자에게 전달한다.</t>
  </si>
  <si>
    <t>2026-10-28 결정. 변경 이력 기록</t>
  </si>
  <si>
    <t>ADM-12</t>
  </si>
  <si>
    <t>출결 변경 승인·미승인</t>
  </si>
  <si>
    <t xml:space="preserve">인솔자의 출결 변경 신청을 확인하고 승인 또는 미승인한다. 미승인은 사유 필수.
승인하면 출석에 반영하고 수정 이력을 남기며, 인솔자와 학생에게 알린다.
10분 안에 처리하지 못해 우선 거절된 신청은 "재검토 대기"에 남는다. 나중에 승인하면 반영하고, 거절을 확정하면 사유를 적는다.</t>
  </si>
  <si>
    <t>A06</t>
  </si>
  <si>
    <t>A-08, A-09</t>
  </si>
  <si>
    <t>2026-10-28 결정 (10분 초과 시 우선 거절)</t>
  </si>
  <si>
    <t>ADM-13</t>
  </si>
  <si>
    <t>문의·오류 처리</t>
  </si>
  <si>
    <t>인솔자가 넘긴 학생 문의와 인솔자 문의를 처리하고 답변한다. 학생·인솔자 문의 전체 기록을 학교·분류·상태별로 열람한다.</t>
  </si>
  <si>
    <t>A07</t>
  </si>
  <si>
    <t>A-08, A-10</t>
  </si>
  <si>
    <t>ADM-14</t>
  </si>
  <si>
    <t>대시보드</t>
  </si>
  <si>
    <t>관리자 대시보드</t>
  </si>
  <si>
    <t>첫 화면에서 오늘 출석률, 출결 변경 승인 대기(남은 시간 표시), 재검토 대기(우선 거절된 신청), 관리자가 처리할 문의, 인솔자가 처리 중인 문의, 기기 승인 대기·동일기기 의심, 대리 출석 감지, 시스템 상태, 학교별 현황을 보고 바로 처리 화면으로 이동한다.</t>
  </si>
  <si>
    <t>A08</t>
  </si>
  <si>
    <t>A-08</t>
  </si>
  <si>
    <t>ADM-15</t>
  </si>
  <si>
    <t>불이익</t>
  </si>
  <si>
    <t>대리 출석 불이익 처리</t>
  </si>
  <si>
    <t xml:space="preserve">대리 출석 건(같은 기기, 기기 주인·취소된 계정, 수업, 자동 취소 여부)을 확인하고 학생에게 불이익을 준다.
불이익 종류: 출석 취소(자동) / 벌점(점수 입력) / 수료 불가. 사유는 필수이고, 잘못 준 불이익은 사유를 적고 해제한다.
학생별 누적 벌점과 수료 불가 여부를 본다. 인솔자는 담당 학교 건을 보기만 한다.</t>
  </si>
  <si>
    <t>A09</t>
  </si>
  <si>
    <t>A-11</t>
  </si>
  <si>
    <t>2026-10-28 결정. 벌점 점수·수료 불가 기준은 사업 규정을 따름</t>
  </si>
  <si>
    <t>ADM-16</t>
  </si>
  <si>
    <t>설정</t>
  </si>
  <si>
    <t>첫 설정</t>
  </si>
  <si>
    <t>서버를 처음 켜면 첫 설정 화면이 열린다. 순서: 총관리자 계정(아이디·비밀번호) → OTP 등록 → 이메일 발송 계정(SMTP 서버·포트·계정·앱 비밀번호·보내는 사람 이름) → 테스트 메일. 테스트 메일이 도착해야 저장되고, 설정이 끝나면 이 화면은 다시 열리지 않는다.</t>
  </si>
  <si>
    <t>A10</t>
  </si>
  <si>
    <t>A-00</t>
  </si>
  <si>
    <t>2026-10-29 결정. 비밀번호는 암호화해 DB(app_settings)에 저장. 코드·저장소에는 넣지 않음</t>
  </si>
  <si>
    <t>ADM-17</t>
  </si>
  <si>
    <t>이메일 설정 변경</t>
  </si>
  <si>
    <t>설정 화면에서 이메일 발송 계정을 바꾸고 테스트 메일을 보낸다. 저장된 비밀번호는 다시 보여주지 않는다(•••).</t>
  </si>
  <si>
    <t>A-12</t>
  </si>
  <si>
    <t>2026-10-29 결정</t>
  </si>
  <si>
    <t>SYS-01</t>
  </si>
  <si>
    <t>자동 처리</t>
  </si>
  <si>
    <t>자동 결석 처리</t>
  </si>
  <si>
    <t>수업이 끝나면 출석하지 않은 학생을 결석으로 처리한다.</t>
  </si>
  <si>
    <t>X01</t>
  </si>
  <si>
    <t>STU-14 규칙</t>
  </si>
  <si>
    <t>SYS-02</t>
  </si>
  <si>
    <t>로그인 세션 만료</t>
  </si>
  <si>
    <t>로그인 3시간 후 세션을 자동으로 만료한다 (Redis TTL).</t>
  </si>
  <si>
    <t>X02</t>
  </si>
  <si>
    <t>SYS-03</t>
  </si>
  <si>
    <t>일일 백업</t>
  </si>
  <si>
    <t>매일 03:00 DB를 백업해 서버 PC에 7일 보관한다. 클라우드 복사는 운영 시작 후 추가하고, 그 전까지는 backups 폴더를 외장 디스크·Google Drive에 직접 복사한다.</t>
  </si>
  <si>
    <t>SYS-04</t>
  </si>
  <si>
    <t>장애 감지와 알림</t>
  </si>
  <si>
    <t>Worker가 1분마다 API·DB·Redis·디스크·백업 상태를 점검하고, 외부 감시(UptimeRobot)와 함께 장애를 감지하면 총관리자에게 이메일로 알린다. 멈춘 컨테이너는 Docker가 자동으로 다시 시작한다.</t>
  </si>
  <si>
    <t>X04</t>
  </si>
  <si>
    <t>2026-10-28 결정 (이메일)</t>
  </si>
  <si>
    <t>SYS-05</t>
  </si>
  <si>
    <t>개인정보 자동 파기</t>
  </si>
  <si>
    <t>프로그램 종료 후 1년이 지나면 학생 개인정보와 출석 기록을 파기한다.</t>
  </si>
  <si>
    <t>2026-10-28 결정 (종료 후 1년)</t>
  </si>
  <si>
    <t>SYS-06</t>
  </si>
  <si>
    <t>이메일 발송</t>
  </si>
  <si>
    <t>기기 승인 요청·새 학생 문의·대리 출석 감지 → 담당 인솔자 / 출결 변경 신청·이관 문의·인솔자 문의·대리 출석 감지·장애 → 총관리자 / 출결 변경 결과(우선 거절 포함)·문의 답변 → 신청자에게 이메일을 보낸다. 발송 결과를 기록한다.</t>
  </si>
  <si>
    <t>T04, X04</t>
  </si>
  <si>
    <t>발송 계정은 총관리자가 첫 설정 화면에서 입력(ADM-16). 인솔자 이메일 주소 필요</t>
  </si>
  <si>
    <t>SYS-07</t>
  </si>
  <si>
    <t>출결 변경 시간 초과 처리</t>
  </si>
  <si>
    <t xml:space="preserve">출결 변경 신청 후 10분 안에 총관리자가 답하지 않으면 우선 거절(자동)로 바꾸고 출석은 그대로 둔다. 인솔자에게 "우선 거절, 총관리자가 나중에 다시 확인" 안내를 보낸다.
우선 거절된 신청은 총관리자의 재검토 대기에 남고, 24시간 동안 처리되지 않으면 다시 알린다. 처리되지 않은 문의도 24시간 후 다시 알린다.</t>
  </si>
  <si>
    <t>X07</t>
  </si>
  <si>
    <t>2026-10-28 결정 (미확정 17번)</t>
  </si>
  <si>
    <t>SYS-08</t>
  </si>
  <si>
    <t>대리 출석 자동 취소</t>
  </si>
  <si>
    <t xml:space="preserve">같은 수업에서 같은 기기로 두 계정이 출석하면 기기 주인(그 기기를 등록한 학생)의 출석은 순서와 관계없이 유지하고, 다른 계정의 출석을 자동 취소(결석으로 집계)한다. 다른 계정이 먼저 출석했더라도 주인이 출석하면 그때 취소한다. 둘 다 주인이 아니면 두 번째로 출석한 계정을 취소한다. 두 출석 모두 "의심"으로 표시한다.
수정 이력(처리자: 시스템)과 불이익 기록(출석 취소)을 남기고, 담당 인솔자와 총관리자에게 알린다.</t>
  </si>
  <si>
    <t>X06</t>
  </si>
  <si>
    <t>S-03, L-02, A-11</t>
  </si>
  <si>
    <t>2026-10-28 결정 (미확정 15번)</t>
  </si>
  <si>
    <t>보안 · 개인정보 · 성능 · 가용성 · 호환성 · 운영 · 디자인</t>
  </si>
  <si>
    <t>분류</t>
  </si>
  <si>
    <t>요구사항</t>
  </si>
  <si>
    <t>NFR-SEC-01</t>
  </si>
  <si>
    <t>보안</t>
  </si>
  <si>
    <t>HTTPS 전용</t>
  </si>
  <si>
    <t>모든 접속은 HTTPS로만 한다. 브라우저 위치 기능도 HTTPS에서만 동작한다. 공개 주소는 Tailscale Funnel의 고정 주소(○○.ts.net)를 쓰고 인증서는 자동 발급된다.</t>
  </si>
  <si>
    <t>미확정 10번 결정 (2026-10-28)</t>
  </si>
  <si>
    <t>NFR-SEC-02</t>
  </si>
  <si>
    <t>외부 인바운드 포트 없음</t>
  </si>
  <si>
    <t>Tailscale(서버가 밖으로만 연결)을 쓰고 공유기 포트를 열지 않는다. 학교 네트워크 사용은 허용됨.</t>
  </si>
  <si>
    <t>2026-10-28 학교 확인</t>
  </si>
  <si>
    <t>NFR-SEC-03</t>
  </si>
  <si>
    <t>관리자 화면 이중 차단</t>
  </si>
  <si>
    <t>Nginx를 공개 포트(Funnel)와 관리자 포트(Serve, Tailscale 기기만)로 나눈다. 공개 포트의 /admin 요청은 차단하고, 관리자 화면은 관리자 포트로만 연다.</t>
  </si>
  <si>
    <t>NFR-SEC-04</t>
  </si>
  <si>
    <t>로그인 시도 제한</t>
  </si>
  <si>
    <t>같은 학번·IP로 짧은 시간에 여러 번 실패하면 일정 시간 차단한다 (Redis). 인솔자 2차 인증(학교 코드)은 5회 실패 시 잠근다.</t>
  </si>
  <si>
    <t>학교 코드는 4자리 고정이라 시도 제한이 필수</t>
  </si>
  <si>
    <t>NFR-SEC-07</t>
  </si>
  <si>
    <t>학교 코드 보호</t>
  </si>
  <si>
    <t>학교 코드는 암호화(해시)해 저장하고, 2차 인증 실패와 코드 변경을 모두 기록한다. 유출이 의심되면 총관리자가 즉시 바꾼다.</t>
  </si>
  <si>
    <t>NFR-SEC-05</t>
  </si>
  <si>
    <t>중복 출석 방지</t>
  </si>
  <si>
    <t>버튼 연타나 여러 탭에서 동시에 요청해도 출석은 1건만 저장한다 (수업별 DB 잠금 + DB 고유 제약).</t>
  </si>
  <si>
    <t>NFR-SEC-06</t>
  </si>
  <si>
    <t>강의실 코드 위조 방지</t>
  </si>
  <si>
    <t>코드는 서버가 수업별로 발급하고 30초 후 만료한다. 캡처해서 공유해도 금방 무효가 된다.</t>
  </si>
  <si>
    <t>NFR-SEC-08</t>
  </si>
  <si>
    <t>요청 횟수 제한</t>
  </si>
  <si>
    <t>Funnel에는 공격 차단(WAF) 기능이 없으므로 Nginx와 API에서 요청 횟수를 제한한다. 학교 Wi-Fi에서는 여러 학생이 같은 IP로 보일 수 있어 IP 기준은 넉넉하게 두고 계정 기준 제한을 함께 쓴다.</t>
  </si>
  <si>
    <t>Funnel 결정에 따라 추가</t>
  </si>
  <si>
    <t>NFR-PRV-01</t>
  </si>
  <si>
    <t>개인정보</t>
  </si>
  <si>
    <t>수집·이용 동의</t>
  </si>
  <si>
    <t>수집 항목(학번, 이름, 소속, 기기정보, 위치 판정 결과, 문의 내용), 목적, 보유기간(종료 후 1년)을 고지하고 동의를 받는다. 대리 출석 불이익(벌점, 수료 불가, 출석 취소)과 기기 주인이 아닌 계정 자동 취소 규칙을 함께 적는다.</t>
  </si>
  <si>
    <t>NFR-PRV-02</t>
  </si>
  <si>
    <t>위치 정보 최소 저장</t>
  </si>
  <si>
    <t>좌표 원본은 저장하지 않거나 짧게 보관하고, 거리·정확도·판정 결과만 저장한다.</t>
  </si>
  <si>
    <t>NFR-PRV-03</t>
  </si>
  <si>
    <t>동의 거부 시 대체 수단</t>
  </si>
  <si>
    <t>위치 동의를 거부한 학생의 출석 요청은 "위치 없음"으로 실패한다. 학생이 문의하면 인솔자가 출결 변경을 신청하고 총관리자 승인으로 처리한다.</t>
  </si>
  <si>
    <t>NFR-PRV-04</t>
  </si>
  <si>
    <t>위치정보법 검토</t>
  </si>
  <si>
    <t>비영리·한시 사업이고 좌표를 저장하지 않으므로 별도 신고 없이 진행한다. 위치정보 이용 동의는 그대로 받는다.</t>
  </si>
  <si>
    <t>2026-10-28 사용자 판단</t>
  </si>
  <si>
    <t>NFR-PRV-05</t>
  </si>
  <si>
    <t>보유기간 후 파기</t>
  </si>
  <si>
    <t>프로그램 종료 후 1년이 지나면 개인정보와 출석 기록을 파기한다 (SYS-05). 동의서에 보유기간 1년을 적는다.</t>
  </si>
  <si>
    <t>NFR-PER-01</t>
  </si>
  <si>
    <t>성능</t>
  </si>
  <si>
    <t>동시 출석 처리</t>
  </si>
  <si>
    <t>학생 50명이 1~2분 안에 동시에 출석해도 응답 2초 이내.</t>
  </si>
  <si>
    <t>수치는 가정값</t>
  </si>
  <si>
    <t>NFR-AVL-01</t>
  </si>
  <si>
    <t>가용성</t>
  </si>
  <si>
    <t>자동 복구</t>
  </si>
  <si>
    <t>컨테이너 자동 재시작, PC 재부팅 후 자동 로그인과 Docker 자동 시작.</t>
  </si>
  <si>
    <t>NFR-AVL-02</t>
  </si>
  <si>
    <t>전원·업데이트 관리</t>
  </si>
  <si>
    <t>UPS 연결, Windows 업데이트 재시작은 새벽으로 지정, 절전 모드 끄기.</t>
  </si>
  <si>
    <t>NFR-AVL-03</t>
  </si>
  <si>
    <t>외부 감시</t>
  </si>
  <si>
    <t>서버 PC 밖에서 5분마다 상태를 확인하고, 이상 시 총관리자에게 이메일을 보낸다 (UptimeRobot).</t>
  </si>
  <si>
    <t>NFR-CMP-01</t>
  </si>
  <si>
    <t>호환성</t>
  </si>
  <si>
    <t>반응형 (모든 기기)</t>
  </si>
  <si>
    <t>휴대폰, 태블릿(iPad, 갤럭시 탭), 노트북(갤럭시북 등), PC에서 모두 쓸 수 있는 반응형 화면으로 만든다. 학생·인솔자·관리자 화면 모두 해당.</t>
  </si>
  <si>
    <t>NFR-CMP-02</t>
  </si>
  <si>
    <t>지원 브라우저</t>
  </si>
  <si>
    <t>최신 Chrome(안드로이드·PC), Safari(iOS·iPadOS), Samsung Internet, Edge. 코드 화면은 빔프로젝터 전체 화면에서도 잘 보이도록 큰 글씨로 만든다.</t>
  </si>
  <si>
    <t>NFR-OPS-01</t>
  </si>
  <si>
    <t>운영</t>
  </si>
  <si>
    <t>실행 환경 통일</t>
  </si>
  <si>
    <t>개발 PC와 서버 PC가 다르므로 Docker Compose로 같은 환경을 구성한다.</t>
  </si>
  <si>
    <t>NFR-OPS-02</t>
  </si>
  <si>
    <t>배포</t>
  </si>
  <si>
    <t>개발 PC → GitHub → 서버 PC에서 pull 후 재시작.</t>
  </si>
  <si>
    <t>NFR-OPS-04</t>
  </si>
  <si>
    <t>TypeScript로 통일한다. 화면: React 19.1 + Vite 6(반응형, PWA) / API: NestJS 11 + Prisma 6.19 / DB: PostgreSQL 16 / 캐시: Redis 7 / 실행: Docker Compose + Nginx.</t>
  </si>
  <si>
    <t>NFR-OPS-03</t>
  </si>
  <si>
    <t>비용</t>
  </si>
  <si>
    <t>도메인을 사지 않고 무료 서비스만 쓴다 (Tailscale Funnel 주소 사용). AI(Claude API)는 쓰지 않는다.</t>
  </si>
  <si>
    <t>2026-10-28 결정 · 2026-10-29 AI 제외</t>
  </si>
  <si>
    <t>NFR-OPS-05</t>
  </si>
  <si>
    <t>공개 저장소 보안</t>
  </si>
  <si>
    <t>코드는 GitHub 공개 저장소에 올린다. 비밀번호·암호화 키·DB 접속 정보·메일 계정은 .env에만 두고 저장소에서 제외한다(.gitignore, 값이 빈 .env.example만 공개). DB 볼륨·백업·업로드한 엑셀도 제외하고, 테스트 데이터는 가짜 이름만 쓴다. 실제 접속 주소와 학교 코드는 문서에 적지 않는다. 커밋 전에 비밀 정보 검사(gitleaks)를 자동 실행한다.</t>
  </si>
  <si>
    <t>NFR-OPS-06</t>
  </si>
  <si>
    <t>고치기 쉬운 코드</t>
  </si>
  <si>
    <t>관리·수정할 사람이 TypeScript·NestJS에 익숙하지 않으므로 코드에 한국어 주석을 충분히 달고, 설치·실행·자주 하는 작업(학생 등록, 백업 복원, 이메일 변경, 문제 해결)을 README에 순서대로 적는다.</t>
  </si>
  <si>
    <t>NFR-UI-01</t>
  </si>
  <si>
    <t>디자인</t>
  </si>
  <si>
    <t>짙은 남색 #1E3A8A (헤더 #0F1F4D, 호버 #2F5BD3, 연한 배경 #EEF3FF).</t>
  </si>
  <si>
    <t>NFR-UI-02</t>
  </si>
  <si>
    <t>상태 색상</t>
  </si>
  <si>
    <t>출석 #16A34A, 지각 #D97706, 결석 #DC2626, 미출 #64748B, 의심은 빨간 배지.</t>
  </si>
  <si>
    <t>NFR-UI-03</t>
  </si>
  <si>
    <t>서비스 이름과 로고</t>
  </si>
  <si>
    <t>서비스 이름은 "🎓 IoT 혁신융합대학 비교과 출석체크". 모든 화면 상단에 IoT COSS 로고와 함께 표시한다(로그인, 학생·인솔자·총관리자 상단, 강의실 코드 화면). 로고 원본이 흰 바탕이라 남색 헤더 위에서는 흰 배지에 담는다.</t>
  </si>
  <si>
    <t>S: 학생 · L: 인솔자 · A: 총관리자 / 관리자 화면(/admin)은 Tailscale로만 접속</t>
  </si>
  <si>
    <t>화면 ID</t>
  </si>
  <si>
    <t>화면명</t>
  </si>
  <si>
    <t>경로 (URL)</t>
  </si>
  <si>
    <t>접속 경로</t>
  </si>
  <si>
    <t>화면 목적</t>
  </si>
  <si>
    <t>주요 구성</t>
  </si>
  <si>
    <t>관련 요구사항</t>
  </si>
  <si>
    <t>학생·인솔자</t>
  </si>
  <si>
    <t>공동 로그인</t>
  </si>
  <si>
    <t>/login</t>
  </si>
  <si>
    <t>공개 주소</t>
  </si>
  <si>
    <t>학생과 인솔자가 함께 쓰는 로그인</t>
  </si>
  <si>
    <t>학생/담당자 선택, 학교 드롭다운, 학번(직번), 이름, 사용자 저장, 로그인 버튼</t>
  </si>
  <si>
    <t>STU-01~03, LDR-01</t>
  </si>
  <si>
    <t>담당자는 로그인 후 L-01로 이동</t>
  </si>
  <si>
    <t>동의·기기 등록</t>
  </si>
  <si>
    <t>/consent</t>
  </si>
  <si>
    <t>최초 로그인 시 동의와 기기 등록</t>
  </si>
  <si>
    <t>개인정보 동의, 위치정보 동의, 위치 권한 요청, 기기 등록 안내</t>
  </si>
  <si>
    <t>STU-05, STU-06</t>
  </si>
  <si>
    <t>최초 1회</t>
  </si>
  <si>
    <t>출석 메인</t>
  </si>
  <si>
    <t>/</t>
  </si>
  <si>
    <t>오늘 수업 확인과 출석</t>
  </si>
  <si>
    <t>상단 사용자 정보, 오늘 날짜, "0교시 | 과목명", 출석 버튼(미출/출석)</t>
  </si>
  <si>
    <t>STU-04, STU-08~10, STU-13~14</t>
  </si>
  <si>
    <t>핵심 화면</t>
  </si>
  <si>
    <t>출석 진행</t>
  </si>
  <si>
    <t>(S-03 위 모달)</t>
  </si>
  <si>
    <t>위치 확인과 코드 입력</t>
  </si>
  <si>
    <t>위치 확인 중 표시, 코드 4자리 입력, 확인 버튼</t>
  </si>
  <si>
    <t>STU-11, STU-12</t>
  </si>
  <si>
    <t>출석 결과</t>
  </si>
  <si>
    <t>성공·실패 결과 안내</t>
  </si>
  <si>
    <t>결과 메시지, 재시도, 이의신청 버튼</t>
  </si>
  <si>
    <t>STU-13, STU-15</t>
  </si>
  <si>
    <t>/support</t>
  </si>
  <si>
    <t>문의 작성과 내 문의 확인</t>
  </si>
  <si>
    <t>분류 선택, 관련 수업, 내용, 자동 첨부 정보 안내, 보내기, 내 문의 목록(상태·답변)</t>
  </si>
  <si>
    <t>이의신청을 통합</t>
  </si>
  <si>
    <t>/history</t>
  </si>
  <si>
    <t>본인 출석 기록 조회</t>
  </si>
  <si>
    <t>날짜별 상태 목록</t>
  </si>
  <si>
    <t>선택 기능</t>
  </si>
  <si>
    <t>L-01</t>
  </si>
  <si>
    <t>2차 인증 (학교 코드)</t>
  </si>
  <si>
    <t>/staff/verify</t>
  </si>
  <si>
    <t>인솔자 본인 확인</t>
  </si>
  <si>
    <t>학교 코드 4자리 입력, 확인 버튼, 남은 시도 횟수</t>
  </si>
  <si>
    <t>LDR-01, NFR-SEC-04</t>
  </si>
  <si>
    <t>5회 실패 시 잠금</t>
  </si>
  <si>
    <t>/staff</t>
  </si>
  <si>
    <t>담당 학교 출석 현황 확인</t>
  </si>
  <si>
    <t>상단 담당자 표시, 필터, 요약 카드, 출석 로그 표, 다운로드, 코드 띄우기</t>
  </si>
  <si>
    <t>LDR-02~06</t>
  </si>
  <si>
    <t>강의실 코드 화면</t>
  </si>
  <si>
    <t>/staff/code/{수업ID}</t>
  </si>
  <si>
    <t>강의실 화면에 출석 코드 표시</t>
  </si>
  <si>
    <t>수업명, 큰 4자리 코드, 남은 시간, 출석 인원</t>
  </si>
  <si>
    <t>전체 화면</t>
  </si>
  <si>
    <t>L-04</t>
  </si>
  <si>
    <t>(L-02·L-05 위 모달)</t>
  </si>
  <si>
    <t>학생·수업, 현재 상태, 변경 후 상태, 사유(필수), 신청</t>
  </si>
  <si>
    <t>총관리자 승인 후 반영</t>
  </si>
  <si>
    <t>문의함</t>
  </si>
  <si>
    <t>/staff/support</t>
  </si>
  <si>
    <t>학생 문의 처리, 총관리자 문의, 변경 신청 내역</t>
  </si>
  <si>
    <t>탭(학생 문의·내 문의·출결 변경 신청 내역), 문의 목록, 상세(자동 첨부 정보), 답변, 해결, 총관리자에게 넘기기, 출결 변경 신청, 총관리자 문의 작성</t>
  </si>
  <si>
    <t>LDR-08, LDR-09, LDR-13</t>
  </si>
  <si>
    <t>메뉴에 미처리 수 배지</t>
  </si>
  <si>
    <t>학생·수강 관리</t>
  </si>
  <si>
    <t>/staff/students</t>
  </si>
  <si>
    <t>학생별 수강 정보와 기기 관리</t>
  </si>
  <si>
    <t>학생 목록, 수업 추가·수정, 기기 초기화</t>
  </si>
  <si>
    <t>LDR-10, LDR-11</t>
  </si>
  <si>
    <t>L-07</t>
  </si>
  <si>
    <t>엑셀 일괄 등록</t>
  </si>
  <si>
    <t>/staff/import</t>
  </si>
  <si>
    <t>템플릿 다운로드, 업로드, 미리보기, 중복 처리 선택, 확정</t>
  </si>
  <si>
    <t>COM-01, COM-02</t>
  </si>
  <si>
    <t>담당 학교만</t>
  </si>
  <si>
    <t>기기 승인 요청</t>
  </si>
  <si>
    <t>/staff/devices</t>
  </si>
  <si>
    <t>미등록 기기 출석 승인</t>
  </si>
  <si>
    <t>요청 목록(학생, 요청 시각, 기기 정보, 위치·코드 결과), 승인·거절, 처리 이력</t>
  </si>
  <si>
    <t>LDR-12, STU-07</t>
  </si>
  <si>
    <t>메뉴에 알림 배지 표시</t>
  </si>
  <si>
    <t>/admin/setup</t>
  </si>
  <si>
    <t>Tailscale 전용</t>
  </si>
  <si>
    <t>서버를 처음 켰을 때 한 번만 하는 설정</t>
  </si>
  <si>
    <t>총관리자 계정·비밀번호, OTP 등록(QR), 이메일 발송 계정(SMTP), 테스트 메일 보내기</t>
  </si>
  <si>
    <t>총관리자가 아직 없을 때만 열림</t>
  </si>
  <si>
    <t>관리자 로그인</t>
  </si>
  <si>
    <t>/admin/login</t>
  </si>
  <si>
    <t>아이디, 비밀번호, OTP 6자리</t>
  </si>
  <si>
    <t>ADM-01, ADM-02</t>
  </si>
  <si>
    <t>전체 출석 현황</t>
  </si>
  <si>
    <t>/admin/attendance</t>
  </si>
  <si>
    <t>모든 학교 출석 현황</t>
  </si>
  <si>
    <t>L-02와 같은 구성 + 학교 필터</t>
  </si>
  <si>
    <t>L-02 재사용</t>
  </si>
  <si>
    <t>/admin/accounts</t>
  </si>
  <si>
    <t>학교·인솔자 계정과 학교 코드 관리</t>
  </si>
  <si>
    <t>학교 목록, 학교 코드(4자리) 발급·변경, 인솔자 목록(이메일 포함), 추가·수정·비활성화, 권한</t>
  </si>
  <si>
    <t>ADM-04, ADM-11</t>
  </si>
  <si>
    <t>장소·일정 관리</t>
  </si>
  <si>
    <t>/admin/sessions</t>
  </si>
  <si>
    <t>수업 장소와 일정 관리</t>
  </si>
  <si>
    <t>장소(좌표·반경) 목록, 수업 일정(날짜·교시·시간·장소) 목록</t>
  </si>
  <si>
    <t>ADM-05, ADM-06</t>
  </si>
  <si>
    <t>A-05</t>
  </si>
  <si>
    <t>/admin/import</t>
  </si>
  <si>
    <t>L-07과 같은 구성 + 학교 선택</t>
  </si>
  <si>
    <t>L-07 재사용</t>
  </si>
  <si>
    <t>장애 현황</t>
  </si>
  <si>
    <t>/admin/health</t>
  </si>
  <si>
    <t>서비스 상태 확인</t>
  </si>
  <si>
    <t>상태 카드(API·DB·Redis·Funnel·디스크·백업), 최근 오류, 이메일 알림 이력</t>
  </si>
  <si>
    <t>AI 분석은 하지 않음 (2026-10-29)</t>
  </si>
  <si>
    <t>/admin/backups</t>
  </si>
  <si>
    <t>백업 확인과 복원</t>
  </si>
  <si>
    <t>백업 목록, 성공 여부, 수동 백업, 복원</t>
  </si>
  <si>
    <t>/admin</t>
  </si>
  <si>
    <t>오늘 상황을 한눈에 보고 바로 처리</t>
  </si>
  <si>
    <t>요약 카드(출석률·변경 승인 대기·재검토 대기·관리자 처리 문의·대리 출석·기기 승인·시스템 상태), 출결 변경 승인 목록(남은 시간), 관리자가 처리할 문의, 학교별 현황</t>
  </si>
  <si>
    <t>ADM-14, ADM-12, ADM-13</t>
  </si>
  <si>
    <t>로그인 후 첫 화면</t>
  </si>
  <si>
    <t>A-09</t>
  </si>
  <si>
    <t>출결 변경 승인</t>
  </si>
  <si>
    <t>/admin/change-requests</t>
  </si>
  <si>
    <t>출결 변경 신청 처리</t>
  </si>
  <si>
    <t>탭(승인 대기·재검토 대기·처리 완료), 신청 목록(학교·학생·수업·변경 전→후·사유·연결 문의·남은 시간), 승인·미승인(사유), 처리 이력</t>
  </si>
  <si>
    <t>ADM-12, SYS-07</t>
  </si>
  <si>
    <t>10분 넘으면 재검토 대기로 이동</t>
  </si>
  <si>
    <t>A-10</t>
  </si>
  <si>
    <t>문의·오류 관리</t>
  </si>
  <si>
    <t>/admin/support</t>
  </si>
  <si>
    <t>이관 문의·인솔자 문의 처리와 전체 기록</t>
  </si>
  <si>
    <t>필터(학교·분류·상태·작성자), 목록, 상세, 답변, 해결</t>
  </si>
  <si>
    <t>대리 출석·불이익</t>
  </si>
  <si>
    <t>/admin/penalties</t>
  </si>
  <si>
    <t>대리 출석 건 확인과 불이익 처리</t>
  </si>
  <si>
    <t>대리 출석 건 목록(기기·기기 주인/취소된 계정·수업·자동 취소), 학생별 누적 벌점·수료 불가, 불이익 주기(벌점·수료 불가), 해제</t>
  </si>
  <si>
    <t>ADM-15, SYS-08</t>
  </si>
  <si>
    <t>/admin/settings</t>
  </si>
  <si>
    <t>운영 설정 변경</t>
  </si>
  <si>
    <t>이메일 발송 계정 변경, 테스트 메일 (비밀번호는 ••• 표시)</t>
  </si>
  <si>
    <t>화면 상세 (주요 화면)</t>
  </si>
  <si>
    <t>영역: 상단 · 본문 · 하단 · 필터 · 요약 · 단계 · 상태(특정 상황에서 보이는 내용)</t>
  </si>
  <si>
    <t>영역</t>
  </si>
  <si>
    <t>구성 요소</t>
  </si>
  <si>
    <t>유형</t>
  </si>
  <si>
    <t>표시 내용·예시</t>
  </si>
  <si>
    <t>동작·규칙</t>
  </si>
  <si>
    <t>상단</t>
  </si>
  <si>
    <t>서비스 이름·로고</t>
  </si>
  <si>
    <t>로고 + 텍스트</t>
  </si>
  <si>
    <t>IoT COSS 로고 / 🎓 IoT 혁신융합대학 비교과 출석체크</t>
  </si>
  <si>
    <t>두 줄로 표시</t>
  </si>
  <si>
    <t>본문</t>
  </si>
  <si>
    <t>사용자 구분</t>
  </si>
  <si>
    <t>탭 2개</t>
  </si>
  <si>
    <t>학생 · 담당자</t>
  </si>
  <si>
    <t>기본값 학생. 사용자 저장 시 마지막 선택 기억</t>
  </si>
  <si>
    <t>STU-01, LDR-01</t>
  </si>
  <si>
    <t>학교</t>
  </si>
  <si>
    <t>드롭다운</t>
  </si>
  <si>
    <t>한국대 / 미래대 …</t>
  </si>
  <si>
    <t>필수 선택. 사용자 저장 시 자동 선택</t>
  </si>
  <si>
    <t>학번 / 직번</t>
  </si>
  <si>
    <t>입력</t>
  </si>
  <si>
    <t>20231234</t>
  </si>
  <si>
    <t>필수. 탭에 따라 이름표가 "학번" 또는 "직번"으로 바뀜</t>
  </si>
  <si>
    <t>이름</t>
  </si>
  <si>
    <t>홍길동</t>
  </si>
  <si>
    <t>체크박스</t>
  </si>
  <si>
    <t>체크 시 입력값을 기기에 기억</t>
  </si>
  <si>
    <t>버튼 (키 컬러)</t>
  </si>
  <si>
    <t>학생: 최초 로그인이면 S-02, 아니면 S-03 / 담당자: L-01(2차 인증)</t>
  </si>
  <si>
    <t>로그인 실패</t>
  </si>
  <si>
    <t>오류 메시지</t>
  </si>
  <si>
    <t>등록되지 않은 정보입니다. 담당자에게 문의하세요.</t>
  </si>
  <si>
    <t>다른 기기 로그인 (학생)</t>
  </si>
  <si>
    <t>안내 메시지</t>
  </si>
  <si>
    <t>등록되지 않은 기기입니다. 출석은 담당자 승인 후 인정됩니다.</t>
  </si>
  <si>
    <t>로그인은 허용. 담당 인솔자에게 화면 알림 + 이메일 발송, 로그 기록</t>
  </si>
  <si>
    <t>선택 버튼 7개</t>
  </si>
  <si>
    <t>출석 불가 · 위치 인식 불가 · 코드 입력 불가 · 로그인 불가 · 기기 변경·분실 · 수업 정보 오류 · 기타</t>
  </si>
  <si>
    <t>하나 선택 필수. 실패 화면에서 오면 자동 선택</t>
  </si>
  <si>
    <t>관련 수업 / 내용</t>
  </si>
  <si>
    <t>드롭다운 / 입력</t>
  </si>
  <si>
    <t>1교시 AI 기초 (오늘 10:00)</t>
  </si>
  <si>
    <t>내용 필수</t>
  </si>
  <si>
    <t>함께 보내는 정보</t>
  </si>
  <si>
    <t>안내 상자</t>
  </si>
  <si>
    <t>기기 정보 · 마지막 출석 시도 결과 · 앱 버전 (좌표 제외)</t>
  </si>
  <si>
    <t>자동 첨부</t>
  </si>
  <si>
    <t>하단</t>
  </si>
  <si>
    <t>내 문의</t>
  </si>
  <si>
    <t>목록</t>
  </si>
  <si>
    <t>분류 · 상태(접수 / 처리 중 / 해결됨 / 관리자 이관) · 답변</t>
  </si>
  <si>
    <t>안내</t>
  </si>
  <si>
    <t>텍스트</t>
  </si>
  <si>
    <t>한국대 김담당님, 학교 코드 4자리를 입력하세요.</t>
  </si>
  <si>
    <t>학교 코드</t>
  </si>
  <si>
    <t>입력 (숫자 4자리, 가림)</t>
  </si>
  <si>
    <t>••••</t>
  </si>
  <si>
    <t>학교별 고정 코드. 총관리자가 발급·변경</t>
  </si>
  <si>
    <t>LDR-01, ADM-11</t>
  </si>
  <si>
    <t>확인</t>
  </si>
  <si>
    <t>맞으면 L-02로 이동</t>
  </si>
  <si>
    <t>코드 오류</t>
  </si>
  <si>
    <t>학교 코드가 맞지 않습니다. (남은 시도 3회)</t>
  </si>
  <si>
    <t>5회 실패 시 일정 시간 잠금, 기록</t>
  </si>
  <si>
    <t>개인정보 수집·이용 동의</t>
  </si>
  <si>
    <t>체크박스 + 전문 보기</t>
  </si>
  <si>
    <t>수집 항목, 목적, 보유기간</t>
  </si>
  <si>
    <t>위치정보 이용 동의</t>
  </si>
  <si>
    <t>출석 장소 확인에만 사용</t>
  </si>
  <si>
    <t>필수. 거부 시 대체 출석 방법 안내</t>
  </si>
  <si>
    <t>기기 등록 안내</t>
  </si>
  <si>
    <t>이 기기가 출석 기기로 등록됩니다.</t>
  </si>
  <si>
    <t>동의하고 시작</t>
  </si>
  <si>
    <t>버튼</t>
  </si>
  <si>
    <t>두 항목 모두 체크해야 활성. 누르면 브라우저 위치 권한 요청 후 S-03으로 이동</t>
  </si>
  <si>
    <t>로고 · 문의 · 로그아웃</t>
  </si>
  <si>
    <t>로고 + 버튼 2개</t>
  </si>
  <si>
    <t>IoT COSS 로고 · IoT 혁신융합대학 비교과 출석체크 / 문의 / 로그아웃</t>
  </si>
  <si>
    <t>"문의"를 누르면 S-06. 모든 학생 화면 상단에 같은 줄을 둔다. 그 아래 줄에 소속·이름</t>
  </si>
  <si>
    <t>STU-16, NFR-UI-03</t>
  </si>
  <si>
    <t>사용자 정보</t>
  </si>
  <si>
    <t>한국대 컴퓨터공학과 홍길동(20231234)</t>
  </si>
  <si>
    <t>로그아웃</t>
  </si>
  <si>
    <t>오늘 날짜</t>
  </si>
  <si>
    <t>2026.11.03 (화)</t>
  </si>
  <si>
    <t>서버 날짜. 변경 불가</t>
  </si>
  <si>
    <t>수업 정보</t>
  </si>
  <si>
    <t>1교시 | AI 기초</t>
  </si>
  <si>
    <t>출석 버튼 약간 위. 출석 전·후 모두 표시</t>
  </si>
  <si>
    <t>출석 버튼 (출석 전)</t>
  </si>
  <si>
    <t>원형 큰 버튼</t>
  </si>
  <si>
    <t>미출</t>
  </si>
  <si>
    <t>출석 가능 시간에만 활성. 누르면 S-04</t>
  </si>
  <si>
    <t>출석 버튼 (출석 후)</t>
  </si>
  <si>
    <t>원형 버튼 (비활성)</t>
  </si>
  <si>
    <t>출석 (지각이면 "지각")</t>
  </si>
  <si>
    <t>다시 누를 수 없음</t>
  </si>
  <si>
    <t>09:55 ~ 10:05 출석 · 이후 지각</t>
  </si>
  <si>
    <t>시작 5분 전 ~ 5분 후 출석, 이후 종료까지 지각</t>
  </si>
  <si>
    <t>오늘 수업 목록</t>
  </si>
  <si>
    <t>1교시 AI 기초 (공학관 301) 출석 / 3교시 데이터 분석 (본관 105) 미출</t>
  </si>
  <si>
    <t>하루 여러 교시. 교시마다 장소가 다를 수 있음</t>
  </si>
  <si>
    <t>문의하기</t>
  </si>
  <si>
    <t>링크</t>
  </si>
  <si>
    <t>출석이 안 되나요? 문의하기</t>
  </si>
  <si>
    <t>S-06으로 이동</t>
  </si>
  <si>
    <t>기기 승인 대기</t>
  </si>
  <si>
    <t>버튼(비활성) + 빨간 느낌표 + 경고</t>
  </si>
  <si>
    <t>등록되지 않은 기기예요 / (!) 해당 기기의 아이디가 아니에요 / 대리 출석의 경우 벌점, 수료 불가, 출석 취소 등 불이익이 있습니다. 같은 기기로 두 계정이 출석하면 기기 주인이 아닌 계정의 출석이 취소됩니다.</t>
  </si>
  <si>
    <t>미등록 기기로 출석한 경우. 승인되면 승인 시각 기준으로 출석·지각 판정</t>
  </si>
  <si>
    <t>출석 취소 (대리 출석)</t>
  </si>
  <si>
    <t>버튼(비활성, 빨강) + 빨간 느낌표 + 문의 링크</t>
  </si>
  <si>
    <t>출석이 취소되었어요 / (!) 같은 기기로 다른 계정이 출석했어요 / 대리 출석은 벌점이나 수료 불가 처리될 수 있습니다. 잘못된 경우 문의해 주세요.</t>
  </si>
  <si>
    <t>기기 주인이 아닌 계정으로 출석했는데, 기기 주인이나 다른 계정이 같은 기기로 출석한 경우 (SYS-08). 승인 대기 중이었다면 이 상태로 바뀜. 문의하기 → S-06</t>
  </si>
  <si>
    <t>SYS-08, STU-16</t>
  </si>
  <si>
    <t>오늘 수업 없음</t>
  </si>
  <si>
    <t>오늘 예정된 수업이 없습니다.</t>
  </si>
  <si>
    <t>출석 버튼 숨김</t>
  </si>
  <si>
    <t>세션 만료</t>
  </si>
  <si>
    <t>안내 후 이동</t>
  </si>
  <si>
    <t>로그인 시간이 만료되었습니다.</t>
  </si>
  <si>
    <t>로그인 3시간 후 S-01로 이동</t>
  </si>
  <si>
    <t>1단계</t>
  </si>
  <si>
    <t>위치 확인 중</t>
  </si>
  <si>
    <t>로딩</t>
  </si>
  <si>
    <t>위치를 확인하고 있습니다…</t>
  </si>
  <si>
    <t>브라우저 위치 → 서버에서 거리 판정</t>
  </si>
  <si>
    <t>2단계</t>
  </si>
  <si>
    <t>강의실 코드</t>
  </si>
  <si>
    <t>입력 (숫자 4자리)</t>
  </si>
  <si>
    <t>강의실 화면의 숫자 4자리를 입력하세요</t>
  </si>
  <si>
    <t>30초마다 바뀌는 코드와 비교</t>
  </si>
  <si>
    <t>확인 / 취소</t>
  </si>
  <si>
    <t>확인 · 취소</t>
  </si>
  <si>
    <t>확인 시 위치·코드·기기를 함께 판정</t>
  </si>
  <si>
    <t>성공</t>
  </si>
  <si>
    <t>메시지</t>
  </si>
  <si>
    <t>출석 완료 (10:02)</t>
  </si>
  <si>
    <t>S-03 버튼이 "출석"으로 바뀜</t>
  </si>
  <si>
    <t>실패: 위치 권한 거부</t>
  </si>
  <si>
    <t>메시지 + 안내</t>
  </si>
  <si>
    <t>위치 권한을 켜 주세요.</t>
  </si>
  <si>
    <t>브라우저별 권한 켜는 방법 안내</t>
  </si>
  <si>
    <t>실패: 반경 밖</t>
  </si>
  <si>
    <t>메시지 + 재시도</t>
  </si>
  <si>
    <t>출석 장소에서 약 350m 떨어져 있습니다.</t>
  </si>
  <si>
    <t>재시도 버튼</t>
  </si>
  <si>
    <t>실패: 코드 오류·만료</t>
  </si>
  <si>
    <t>메시지 + 재입력</t>
  </si>
  <si>
    <t>코드가 맞지 않거나 만료되었습니다.</t>
  </si>
  <si>
    <t>코드 다시 입력</t>
  </si>
  <si>
    <t>실패: 출석 시간 아님</t>
  </si>
  <si>
    <t>출석 가능 시간이 아닙니다.</t>
  </si>
  <si>
    <t>STU-14, STU-15</t>
  </si>
  <si>
    <t>계속 안 되면 문의하기</t>
  </si>
  <si>
    <t>실패가 반복될 때 표시. S-06으로 이동 (분류 자동 선택)</t>
  </si>
  <si>
    <t>담당자 표시</t>
  </si>
  <si>
    <t>한국대 담당자: 김담당님</t>
  </si>
  <si>
    <t>메뉴</t>
  </si>
  <si>
    <t>탭</t>
  </si>
  <si>
    <t>출석 현황 · 학생·수강 관리 · 엑셀 등록 · 문의함 · 기기 승인</t>
  </si>
  <si>
    <t>문의함·기기 승인에 미처리 수 배지</t>
  </si>
  <si>
    <t>LDR-09, LDR-12</t>
  </si>
  <si>
    <t>필터</t>
  </si>
  <si>
    <t>날짜 / 수업 / 상태 / 검색</t>
  </si>
  <si>
    <t>날짜 선택 · 드롭다운 · 입력</t>
  </si>
  <si>
    <t>기본값: 오늘, 전체</t>
  </si>
  <si>
    <t>상태: 전체·출석·지각·결석·미출·의심</t>
  </si>
  <si>
    <t>요약</t>
  </si>
  <si>
    <t>요약 카드</t>
  </si>
  <si>
    <t>카드 5개</t>
  </si>
  <si>
    <t>전체 45 · 출석 38 · 지각 3 · 미출 4 · 의심 1</t>
  </si>
  <si>
    <t>카드를 누르면 해당 상태로 필터</t>
  </si>
  <si>
    <t>코드 띄우기</t>
  </si>
  <si>
    <t>선택한 수업의 L-03을 새 창으로 열기</t>
  </si>
  <si>
    <t>출석 로그</t>
  </si>
  <si>
    <t>표</t>
  </si>
  <si>
    <t>학번 | 이름 | 위치 | 날짜 | 참가여부 | 동일기기 의심여부</t>
  </si>
  <si>
    <t>위치는 "반경 내 (35m)" 형식. 의심은 빨간 배지</t>
  </si>
  <si>
    <t>LDR-03, LDR-05</t>
  </si>
  <si>
    <t>변경 신청</t>
  </si>
  <si>
    <t>표 안 버튼</t>
  </si>
  <si>
    <t>L-04 모달 열기 (총관리자 승인 후 반영)</t>
  </si>
  <si>
    <t>Excel / CSV 다운로드</t>
  </si>
  <si>
    <t>버튼 2개</t>
  </si>
  <si>
    <t>Excel 다운로드 · CSV 다운로드</t>
  </si>
  <si>
    <t>현재 필터 기준으로 내보내기</t>
  </si>
  <si>
    <t>큰 텍스트</t>
  </si>
  <si>
    <t>아주 큰 숫자</t>
  </si>
  <si>
    <t>4 8 2 7</t>
  </si>
  <si>
    <t>30초마다 변경</t>
  </si>
  <si>
    <t>남은 시간</t>
  </si>
  <si>
    <t>진행 바</t>
  </si>
  <si>
    <t>18초</t>
  </si>
  <si>
    <t>출석 인원</t>
  </si>
  <si>
    <t>32 / 45명 출석</t>
  </si>
  <si>
    <t>실시간 갱신</t>
  </si>
  <si>
    <t>종료</t>
  </si>
  <si>
    <t>코드 표시 종료</t>
  </si>
  <si>
    <t>템플릿 다운로드</t>
  </si>
  <si>
    <t>템플릿 받기 (.xlsx)</t>
  </si>
  <si>
    <t>"엑셀 양식" 시트의 컬럼 구성</t>
  </si>
  <si>
    <t>파일 업로드</t>
  </si>
  <si>
    <t>드래그 영역</t>
  </si>
  <si>
    <t>여기에 파일을 끌어 놓으세요</t>
  </si>
  <si>
    <t>.xlsx, .csv만 허용</t>
  </si>
  <si>
    <t>3단계</t>
  </si>
  <si>
    <t>미리보기</t>
  </si>
  <si>
    <t>행 번호 | 결과(정상/오류) | 오류 사유 | 데이터</t>
  </si>
  <si>
    <t>오류 행은 빨간 표시</t>
  </si>
  <si>
    <t>중복 처리</t>
  </si>
  <si>
    <t>라디오 버튼</t>
  </si>
  <si>
    <t>기존 학생 갱신 / 건너뛰기</t>
  </si>
  <si>
    <t>4단계</t>
  </si>
  <si>
    <t>등록하기</t>
  </si>
  <si>
    <t>오류가 0건일 때 활성</t>
  </si>
  <si>
    <t>결과</t>
  </si>
  <si>
    <t>등록 결과</t>
  </si>
  <si>
    <t>신규 40건 · 갱신 3건 · 건너뜀 2건</t>
  </si>
  <si>
    <t>요청 목록</t>
  </si>
  <si>
    <t>학번 | 이름 | 요청 시각 | 기기 정보 | 위치 결과 | 코드 결과 | 상태</t>
  </si>
  <si>
    <t>대기 중인 요청을 위에 표시</t>
  </si>
  <si>
    <t>승인 / 거절</t>
  </si>
  <si>
    <t>승인 · 거절</t>
  </si>
  <si>
    <t>승인: 승인 시각 기준으로 출석·지각 판정(수업 종료 후면 결석 유지) + 새 기기로 교체 등록 / 거절: 사유 입력, 결석 유지</t>
  </si>
  <si>
    <t>처리 이력</t>
  </si>
  <si>
    <t>처리 시각 | 처리자 | 결과 | 사유</t>
  </si>
  <si>
    <t>로그로 보관</t>
  </si>
  <si>
    <t>LDR-12, COM-04</t>
  </si>
  <si>
    <t>탭 3개</t>
  </si>
  <si>
    <t>학생 문의 · 내 문의(총관리자에게) · 출결 변경 신청 내역</t>
  </si>
  <si>
    <t>미처리 수 표시</t>
  </si>
  <si>
    <t>LDR-09, LDR-13, LDR-08</t>
  </si>
  <si>
    <t>문의 상세</t>
  </si>
  <si>
    <t>카드</t>
  </si>
  <si>
    <t>분류 · 학생 · 수업 · 내용 · 자동 첨부 정보(기기, 마지막 시도, 시도 횟수)</t>
  </si>
  <si>
    <t>처리 버튼</t>
  </si>
  <si>
    <t>버튼 3개</t>
  </si>
  <si>
    <t>총관리자에게 넘기기 · 답변 보내고 해결 · 출결 변경 신청하기</t>
  </si>
  <si>
    <t>넘기면 총관리자 문의함에 표시</t>
  </si>
  <si>
    <t>LDR-09, LDR-08</t>
  </si>
  <si>
    <t>폼</t>
  </si>
  <si>
    <t>현재 상태 → 변경 후(출석/지각/공결/결석) · 사유(필수)</t>
  </si>
  <si>
    <t>총관리자에게 문의</t>
  </si>
  <si>
    <t>분류(정보 변경 불가 · 학생 인식 불가 · 엑셀 등록 오류 · 강의실 코드 표시 오류 · 출석 현황·다운로드 오류 · 로그인·학교 코드 문제 · 알림·이메일 미수신 · 기타) · 내용</t>
  </si>
  <si>
    <t>아이디 / 비밀번호</t>
  </si>
  <si>
    <t>OTP</t>
  </si>
  <si>
    <t>입력 (숫자 6자리)</t>
  </si>
  <si>
    <t>OTP 앱의 6자리 코드</t>
  </si>
  <si>
    <t>Tailscale 밖에서 접속</t>
  </si>
  <si>
    <t>페이지 자체가 열리지 않음</t>
  </si>
  <si>
    <t>총관리자 계정</t>
  </si>
  <si>
    <t>아이디 / 비밀번호 / 비밀번호 확인</t>
  </si>
  <si>
    <t>비밀번호 12자 이상</t>
  </si>
  <si>
    <t>OTP 등록</t>
  </si>
  <si>
    <t>QR 코드 + 입력</t>
  </si>
  <si>
    <t>OTP 앱으로 QR 스캔 → 6자리 입력</t>
  </si>
  <si>
    <t>맞아야 다음 단계로 넘어감</t>
  </si>
  <si>
    <t>ADM-16, ADM-02</t>
  </si>
  <si>
    <t>SMTP 서버(예: smtp.gmail.com) · 포트(587) · 계정 · 앱 비밀번호 · 보내는 사람 이름</t>
  </si>
  <si>
    <t>Gmail은 2단계 인증을 켠 뒤 앱 비밀번호를 만들어 입력</t>
  </si>
  <si>
    <t>테스트 메일</t>
  </si>
  <si>
    <t>테스트 메일 보내기</t>
  </si>
  <si>
    <t>도착을 확인해야 저장 버튼이 켜짐</t>
  </si>
  <si>
    <t>상태 카드</t>
  </si>
  <si>
    <t>카드 6개</t>
  </si>
  <si>
    <t>API · DB · Redis · Funnel · 디스크 · 백업</t>
  </si>
  <si>
    <t>정상(초록)·경고(주황)·장애(빨강)</t>
  </si>
  <si>
    <t>최근 오류</t>
  </si>
  <si>
    <t>시각 | 구성 요소 | 오류 내용</t>
  </si>
  <si>
    <t>알림 이력</t>
  </si>
  <si>
    <t>시각 | 채널 | 내용</t>
  </si>
  <si>
    <t>카드 7개</t>
  </si>
  <si>
    <t>오늘 출석률 · 출결 변경 승인 대기 · 재검토 대기 · 관리자 처리 문의 · 대리 출석 · 기기 승인 대기(의심) · 시스템 상태</t>
  </si>
  <si>
    <t>카드를 누르면 해당 화면으로 이동</t>
  </si>
  <si>
    <t>출결 변경 승인 대기</t>
  </si>
  <si>
    <t>목록 + 버튼</t>
  </si>
  <si>
    <t>학생 · 학교 · 수업 · 변경 전→후 · 신청자 · 사유 · 연결 문의 · 남은 시간(10분)</t>
  </si>
  <si>
    <t>승인 / 미승인(사유 필수). 10분이 지나면 우선 거절되어 재검토 대기로 이동</t>
  </si>
  <si>
    <t>재검토 대기</t>
  </si>
  <si>
    <t>우선 거절된 신청 · 거절된 시각</t>
  </si>
  <si>
    <t>승인(반영) / 거절 확정(사유 필수)</t>
  </si>
  <si>
    <t>관리자가 처리할 문의</t>
  </si>
  <si>
    <t>인솔자 이관 문의 · 인솔자 문의</t>
  </si>
  <si>
    <t>누르면 A-10 상세</t>
  </si>
  <si>
    <t>학교별 오늘 현황</t>
  </si>
  <si>
    <t>학교 | 출석률 | 미출 | 의심 | 미해결 문의</t>
  </si>
  <si>
    <t>전체 문의 로그 보기 링크</t>
  </si>
  <si>
    <t>대리 출석 건</t>
  </si>
  <si>
    <t>수업 | 기기 | 기기 주인(유지) | 다른 계정(취소) | 감지 시각 | 불이익</t>
  </si>
  <si>
    <t>기기 주인이 아닌 계정은 자동으로 출석 취소. 둘 다 주인이 아니면 두 번째 계정 취소</t>
  </si>
  <si>
    <t>SYS-08, ADM-15</t>
  </si>
  <si>
    <t>불이익 주기</t>
  </si>
  <si>
    <t>모달</t>
  </si>
  <si>
    <t>종류(벌점·수료 불가) · 벌점 점수 · 사유(필수)</t>
  </si>
  <si>
    <t>해제도 사유 필수. 학생별 누적 벌점 표시</t>
  </si>
  <si>
    <t>일괄 등록 템플릿(학생·수강: L-07, A-05 / 인솔자·장소·수업 일정: 총관리자)과 출석 로그 다운로드(L-02, A-02)의 컬럼 정의. 학교(4~5곳)와 학교 코드는 화면(A-03)에서 직접 입력</t>
  </si>
  <si>
    <t>① 업로드 템플릿 — "학생" 시트</t>
  </si>
  <si>
    <t>컬럼명</t>
  </si>
  <si>
    <t>형식</t>
  </si>
  <si>
    <t>예시</t>
  </si>
  <si>
    <t>검증 규칙</t>
  </si>
  <si>
    <t>등록된 학교명</t>
  </si>
  <si>
    <t>한국대</t>
  </si>
  <si>
    <t>학교 목록에 있어야 함. 인솔자는 본인 학교만 가능</t>
  </si>
  <si>
    <t>학번</t>
  </si>
  <si>
    <t>같은 학교 안에서 중복 불가. 앞자리 0 유지를 위해 텍스트로 저장</t>
  </si>
  <si>
    <t>단과대</t>
  </si>
  <si>
    <t>공과대학</t>
  </si>
  <si>
    <t>학과</t>
  </si>
  <si>
    <t>컴퓨터공학과</t>
  </si>
  <si>
    <t>② 업로드 템플릿 — "수강" 시트</t>
  </si>
  <si>
    <t>"학생" 시트 또는 이미 등록된 학생이어야 함</t>
  </si>
  <si>
    <t>과목명</t>
  </si>
  <si>
    <t>AI 기초</t>
  </si>
  <si>
    <t>등록된 수업 일정(A-04)에 있어야 함</t>
  </si>
  <si>
    <t>날짜</t>
  </si>
  <si>
    <t>YYYY-MM-DD</t>
  </si>
  <si>
    <t>2026-11-05</t>
  </si>
  <si>
    <t>비우면 그 과목의 모든 회차를 수강. 특정 회차만 들을 때만 적음</t>
  </si>
  <si>
    <t>교시</t>
  </si>
  <si>
    <t>숫자</t>
  </si>
  <si>
    <t>1</t>
  </si>
  <si>
    <t>날짜를 적었으면 함께 적음</t>
  </si>
  <si>
    <t>③ 총관리자용 템플릿 — "인솔자" 시트</t>
  </si>
  <si>
    <t>학교 목록에 있어야 함</t>
  </si>
  <si>
    <t>직번</t>
  </si>
  <si>
    <t>S2024001</t>
  </si>
  <si>
    <t>같은 학교 안에서 중복 불가. 로그인할 때 씀</t>
  </si>
  <si>
    <t>김담당</t>
  </si>
  <si>
    <t>이메일</t>
  </si>
  <si>
    <t>이메일 주소</t>
  </si>
  <si>
    <t>kim@example.ac.kr</t>
  </si>
  <si>
    <t>기기 승인 요청·문의 알림을 받음</t>
  </si>
  <si>
    <t>보기 / 수정</t>
  </si>
  <si>
    <t>수정</t>
  </si>
  <si>
    <t>비우면 수정</t>
  </si>
  <si>
    <t>④ 총관리자용 템플릿 — "장소" 시트</t>
  </si>
  <si>
    <t>장소명</t>
  </si>
  <si>
    <t>공학관 301</t>
  </si>
  <si>
    <t>중복 불가. "수업 일정" 시트에서 이 이름으로 찾음</t>
  </si>
  <si>
    <t>위도</t>
  </si>
  <si>
    <t>숫자 (소수 6자리)</t>
  </si>
  <si>
    <t>37.123456</t>
  </si>
  <si>
    <t>지도 앱에서 강의실 건물을 길게 눌러 복사</t>
  </si>
  <si>
    <t>경도</t>
  </si>
  <si>
    <t>127.123456</t>
  </si>
  <si>
    <t>허용 반경</t>
  </si>
  <si>
    <t>숫자 (m)</t>
  </si>
  <si>
    <t>50</t>
  </si>
  <si>
    <t>비우면 50</t>
  </si>
  <si>
    <t>⑤ 총관리자용 템플릿 — "수업 일정" 시트 (장소 시트 다음에 올림)</t>
  </si>
  <si>
    <t>처음 나오는 과목은 자동으로 등록</t>
  </si>
  <si>
    <t>과목·날짜·교시 조합은 중복 불가</t>
  </si>
  <si>
    <t>시작 시각</t>
  </si>
  <si>
    <t>HH:MM</t>
  </si>
  <si>
    <t>10:00</t>
  </si>
  <si>
    <t>출석 가능 시간은 자동 계산 (시작 5분 전 ~ 5분 후)</t>
  </si>
  <si>
    <t>종료 시각</t>
  </si>
  <si>
    <t>11:50</t>
  </si>
  <si>
    <t>시작 시각보다 늦어야 함</t>
  </si>
  <si>
    <t>"장소" 시트에 있어야 함</t>
  </si>
  <si>
    <t>⑥ 출석 로그 다운로드 컬럼 (Excel · CSV 공통)</t>
  </si>
  <si>
    <t>순서</t>
  </si>
  <si>
    <t>구분</t>
  </si>
  <si>
    <t>내용</t>
  </si>
  <si>
    <t>사용자 지정</t>
  </si>
  <si>
    <t>학생 학번</t>
  </si>
  <si>
    <t>학생 이름</t>
  </si>
  <si>
    <t>위치</t>
  </si>
  <si>
    <t>반경 내 (35m)</t>
  </si>
  <si>
    <t>위치 판정 결과와 거리</t>
  </si>
  <si>
    <t>2026-11-03</t>
  </si>
  <si>
    <t>출석 날짜 (서버 기준)</t>
  </si>
  <si>
    <t>참가여부</t>
  </si>
  <si>
    <t>출석 · 지각 · 결석 · 공결 · 미출</t>
  </si>
  <si>
    <t>동일기기 의심여부</t>
  </si>
  <si>
    <t>Y (같은 기기 2명)</t>
  </si>
  <si>
    <t>Y/N + 사유</t>
  </si>
  <si>
    <t>추가 제안</t>
  </si>
  <si>
    <t>소속 학교</t>
  </si>
  <si>
    <t>수업 교시</t>
  </si>
  <si>
    <t>수업 이름</t>
  </si>
  <si>
    <t>출석 시각</t>
  </si>
  <si>
    <t>10:02:15</t>
  </si>
  <si>
    <t>출석 버튼을 누른 시각</t>
  </si>
  <si>
    <t>수정 사유</t>
  </si>
  <si>
    <t>병원 진료 (공결)</t>
  </si>
  <si>
    <t>인솔자가 상태를 바꾼 경우 사유</t>
  </si>
  <si>
    <t>※ 1~6번은 원래 요구사항의 컬럼(학번|이름|위치|날짜|참가여부|동일기기 의심여부), 7~11번은 추가 제안 컬럼</t>
  </si>
  <si>
    <t>결정이 나면 노란 칸(결정 내용)에 적고 상태를 "결정"으로 바꾼다. 개요 시트의 남은 항목 수가 자동으로 줄어든다. 학교 등 외부 확인이 필요한 항목은 "확인 대기".</t>
  </si>
  <si>
    <t>번호</t>
  </si>
  <si>
    <t>항목</t>
  </si>
  <si>
    <t>현재 상태·제안</t>
  </si>
  <si>
    <t>확인 대상</t>
  </si>
  <si>
    <t>결정 내용 (입력)</t>
  </si>
  <si>
    <t>참여 학교 수</t>
  </si>
  <si>
    <t>학교 수에 따라 인솔자 계정 수(학교당 3명 이상)가 정해짐</t>
  </si>
  <si>
    <t>사업 담당</t>
  </si>
  <si>
    <t>4~5곳 (인솔자 계정 약 12~15개)</t>
  </si>
  <si>
    <t>결정</t>
  </si>
  <si>
    <t>인솔자 요구사항 5번</t>
  </si>
  <si>
    <t>원문이 "수업 추가 혹은…"에서 끊김</t>
  </si>
  <si>
    <t>요구사항 작성자</t>
  </si>
  <si>
    <t>수강 정보 추가·수정·삭제 모두 가능, 변경 이력 기록</t>
  </si>
  <si>
    <t>하루 여러 교시 / 회차별 장소</t>
  </si>
  <si>
    <t>여러 교시면 "지금 출석할 수업" 기준으로 표시</t>
  </si>
  <si>
    <t>STU-09, ADM-06</t>
  </si>
  <si>
    <t>하루 여러 교시, 교시마다 장소가 다를 수 있음 → 수업마다 장소 지정</t>
  </si>
  <si>
    <t>등록되지 않은 기기 로그인 정책</t>
  </si>
  <si>
    <t>차단 / 허용+의심 / 인솔자 승인 중 선택</t>
  </si>
  <si>
    <t>STU-07, LDR-12</t>
  </si>
  <si>
    <t>인솔자 승인 후 출석 인정. 로그 기록 + 담당 인솔자에게 화면 알림·이메일. 출석 판정은 승인 시각 기준</t>
  </si>
  <si>
    <t>학생 상단 표시 형식</t>
  </si>
  <si>
    <t>1-1 형식과 3 형식이 다름</t>
  </si>
  <si>
    <t>소속 먼저: "한국대 컴퓨터공학과 홍길동(20231234)"</t>
  </si>
  <si>
    <t>인솔자 로그인 보안</t>
  </si>
  <si>
    <t>직번+이름만으로는 다른 사람이 접속할 수 있음</t>
  </si>
  <si>
    <t>공동 로그인 후 2차 인증으로 학교 코드 4자리 입력. 학교별 고정, 총관리자만 변경</t>
  </si>
  <si>
    <t>출석 가능 시간 · 지각 기준</t>
  </si>
  <si>
    <t>몇 분 전·후까지 출석으로 볼지</t>
  </si>
  <si>
    <t>STU-14, SYS-01</t>
  </si>
  <si>
    <t>시작 5분 전 ~ 5분 후 출석, 이후 수업 종료까지 지각, 종료 후 결석</t>
  </si>
  <si>
    <t>GPS 허용 반경</t>
  </si>
  <si>
    <t>실내 오차와 엄격함 사이 선택</t>
  </si>
  <si>
    <t>STU-11, ADM-05</t>
  </si>
  <si>
    <t>기본 50m, 장소별 조정 가능 (현장 테스트 후 재조정)</t>
  </si>
  <si>
    <t>API 서버·화면 프레임워크 선택</t>
  </si>
  <si>
    <t>개발팀</t>
  </si>
  <si>
    <t>TypeScript: React(반응형·PWA) + NestJS. 휴대폰·태블릿·노트북 모두 지원</t>
  </si>
  <si>
    <t>도메인 · 접속 주소</t>
  </si>
  <si>
    <t>학교 하위 도메인 사용 불가, 도메인은 사지 않기로 함. Cloudflare Tunnel은 도메인이 있어야 고정 주소를 쓸 수 있음</t>
  </si>
  <si>
    <t>NFR-SEC-01~03, NFR-SEC-08</t>
  </si>
  <si>
    <t>Tailscale Funnel 고정 주소(○○.ts.net) 사용. 관리자 화면은 Tailscale 사설망에서만. 학생에게는 QR 코드 + 홈 화면 추가로 안내. 첫 수업 전 학교 Wi-Fi·LTE 접속과 동시 출석 시험</t>
  </si>
  <si>
    <t>알림 채널</t>
  </si>
  <si>
    <t>인솔자 연락과 총관리자 장애 알림 방법</t>
  </si>
  <si>
    <t>SYS-04, SYS-06</t>
  </si>
  <si>
    <t>인솔자: 화면 알림 + 이메일 / 총관리자 장애 알림: 이메일</t>
  </si>
  <si>
    <t>위치정보법 신고 여부</t>
  </si>
  <si>
    <t>위치기반서비스사업 신고 대상인지</t>
  </si>
  <si>
    <t>비영리·한시 사업, 좌표 미저장 → 별도 신고 없이 진행 (동의는 받음)</t>
  </si>
  <si>
    <t>개인정보 보유기간</t>
  </si>
  <si>
    <t>종료 즉시 / 6개월 / 1년 중 선택</t>
  </si>
  <si>
    <t>SYS-05, NFR-PRV-05</t>
  </si>
  <si>
    <t>프로그램 종료 후 1년</t>
  </si>
  <si>
    <t>학교 네트워크 서버 운영 허용</t>
  </si>
  <si>
    <t>사무실 PC를 서버로 써도 되는지</t>
  </si>
  <si>
    <t>정보전산원</t>
  </si>
  <si>
    <t>사용 허용</t>
  </si>
  <si>
    <t>대리 출석 시 취소 대상</t>
  </si>
  <si>
    <t>같은 기기로 두 계정이 출석하면 "둘 중 하나" 취소</t>
  </si>
  <si>
    <t>LDR-05, STU-07, SYS-08</t>
  </si>
  <si>
    <t>기기 주인(그 기기를 등록한 학생)은 순서와 관계없이 유지하고 다른 계정을 자동 취소. 둘 다 주인이 아니면 두 번째 계정 취소 (둘 다 의심 표시)</t>
  </si>
  <si>
    <t>대리 출석 불이익 내용</t>
  </si>
  <si>
    <t>경고 문구의 "불이익"이 무엇인지 사업 규정과 동의서에 적어야 함</t>
  </si>
  <si>
    <t>STU-07, ADM-15, NFR-PRV-01</t>
  </si>
  <si>
    <t>벌점 / 수료 불가 / 출석 취소. 출석 취소는 자동, 벌점·수료 불가는 총관리자가 정함</t>
  </si>
  <si>
    <t>출결 변경 승인 지연</t>
  </si>
  <si>
    <t>모든 출결 변경이 총관리자 승인으로 몰림</t>
  </si>
  <si>
    <t>10분 안에 답이 없으면 우선 거절. 총관리자가 나중에 재검토해 승인하거나 거절 확정</t>
  </si>
  <si>
    <t>AI 모니터 사용</t>
  </si>
  <si>
    <t>Claude API로 장애 원인 분석·자동 조치 (ADM-08·09)</t>
  </si>
  <si>
    <t>ADM-08, ADM-09, NFR-OPS-03</t>
  </si>
  <si>
    <t>사용하지 않음 (예산 없음). 상태 점검 + 이메일 + Docker 자동 재시작으로 대응</t>
  </si>
  <si>
    <t>어떤 계정으로 알림 메일을 보낼지</t>
  </si>
  <si>
    <t>SYS-06, ADM-16</t>
  </si>
  <si>
    <t>GitHub 공개 또는 비공개</t>
  </si>
  <si>
    <t>공개 저장소. 비밀 정보·DB 내용·실제 접속 주소는 올리지 않음</t>
  </si>
  <si>
    <t>화면 상단에 쓸 이름</t>
  </si>
  <si>
    <t>🎓 IoT 혁신융합대학 비교과 출석체크 + IoT COSS 로고</t>
  </si>
  <si>
    <t>운영 시작일</t>
  </si>
  <si>
    <t>첫 수업 날짜</t>
  </si>
  <si>
    <t>수강 범위</t>
  </si>
  <si>
    <t>모든 학생이 모든 수업을 듣는지, 학교·학생마다 듣는 수업이 다른지에 따라 "수강" 시트 작성량이 달라짐</t>
  </si>
  <si>
    <t>미결정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</si>
</sst>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0F1F4D"/>
      <sz val="16"/>
      <name val="맑은 고딕"/>
    </font>
    <font>
      <color rgb="FF475569"/>
      <sz val="10"/>
      <name val="맑은 고딕"/>
    </font>
    <font>
      <b/>
      <color rgb="FF1E3A8A"/>
      <sz val="12"/>
      <name val="맑은 고딕"/>
    </font>
    <font>
      <b/>
      <color rgb="FF0F1F4D"/>
      <sz val="10"/>
      <name val="맑은 고딕"/>
    </font>
    <font>
      <sz val="10"/>
      <name val="맑은 고딕"/>
    </font>
    <font>
      <b/>
      <color rgb="FFFFFFFF"/>
      <sz val="10"/>
      <name val="맑은 고딕"/>
    </font>
    <font>
      <b/>
      <sz val="10"/>
      <name val="맑은 고딕"/>
    </font>
    <font>
      <b/>
      <sz val="9"/>
      <name val="맑은 고딕"/>
    </font>
  </fonts>
  <fills count="6">
    <fill>
      <patternFill patternType="none"/>
    </fill>
    <fill>
      <patternFill patternType="gray125"/>
    </fill>
    <fill>
      <patternFill patternType="solid">
        <fgColor rgb="FFEEF3FF"/>
      </patternFill>
    </fill>
    <fill>
      <patternFill patternType="solid">
        <fgColor rgb="FFFFF59D"/>
      </patternFill>
    </fill>
    <fill>
      <patternFill patternType="solid">
        <fgColor rgb="FF1E3A8A"/>
      </patternFill>
    </fill>
    <fill>
      <patternFill patternType="solid">
        <fgColor rgb="FFF8FAFF"/>
      </patternFill>
    </fill>
  </fills>
  <borders count="2">
    <border>
      <left/>
      <right/>
      <top/>
      <bottom/>
      <diagonal/>
    </border>
    <border>
      <left style="thin">
        <color rgb="FFC9D6F2"/>
      </left>
      <right style="thin">
        <color rgb="FFC9D6F2"/>
      </right>
      <top style="thin">
        <color rgb="FFC9D6F2"/>
      </top>
      <bottom style="thin">
        <color rgb="FFC9D6F2"/>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center"/>
    </xf>
    <xf numFmtId="0" fontId="5" fillId="0" borderId="1" xfId="0" applyFont="1" applyBorder="1" applyAlignment="1">
      <alignment vertical="center" wrapText="1"/>
    </xf>
    <xf numFmtId="0" fontId="5" fillId="3" borderId="1" xfId="0" applyFont="1" applyFill="1" applyBorder="1" applyAlignment="1">
      <alignment vertical="center" wrapText="1"/>
    </xf>
    <xf numFmtId="0" fontId="6" fillId="4" borderId="1" xfId="0" applyFont="1" applyFill="1" applyBorder="1" applyAlignment="1">
      <alignment horizontal="center" vertical="center" wrapText="1"/>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7" fillId="2" borderId="1" xfId="0" applyFont="1" applyFill="1" applyBorder="1" applyAlignment="1">
      <alignment horizontal="left" vertical="center"/>
    </xf>
    <xf numFmtId="0" fontId="7" fillId="2" borderId="1" xfId="0" applyFont="1" applyFill="1" applyBorder="1" applyAlignment="1">
      <alignment horizontal="center" vertical="center"/>
    </xf>
    <xf numFmtId="0" fontId="4" fillId="2" borderId="1" xfId="0" applyFont="1" applyFill="1" applyBorder="1"/>
    <xf numFmtId="0" fontId="7" fillId="0" borderId="1" xfId="0" applyFont="1" applyBorder="1" applyAlignment="1">
      <alignment horizontal="center"/>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5" fillId="5"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8" fillId="3" borderId="1" xfId="0" applyFont="1" applyFill="1" applyBorder="1" applyAlignment="1">
      <alignment horizontal="center"/>
    </xf>
    <xf numFmtId="0" fontId="5" fillId="3" borderId="1" xfId="0" applyFont="1" applyFill="1" applyBorder="1" applyAlignment="1">
      <alignment horizontal="left" vertical="top" wrapText="1"/>
    </xf>
  </cellXfs>
  <cellStyles count="1">
    <cellStyle name="Normal" xfId="0" builtinId="0"/>
  </cellStyles>
  <dxfs count="11">
    <dxf>
      <font>
        <b/>
        <color rgb="FFB91C1C"/>
      </font>
      <fill>
        <patternFill patternType="solid">
          <bgColor rgb="FFFDE2E2"/>
        </patternFill>
      </fill>
    </dxf>
    <dxf>
      <font>
        <color rgb="FF92400E"/>
      </font>
      <fill>
        <patternFill patternType="solid">
          <bgColor rgb="FFFEF3C7"/>
        </patternFill>
      </fill>
    </dxf>
    <dxf>
      <font>
        <b/>
        <color rgb="FF15803D"/>
      </font>
    </dxf>
    <dxf>
      <font>
        <color rgb="FF94A3B8"/>
        <strike/>
      </font>
    </dxf>
    <dxf>
      <font>
        <b/>
        <color rgb="FFB91C1C"/>
      </font>
      <fill>
        <patternFill patternType="solid">
          <bgColor rgb="FFFDE2E2"/>
        </patternFill>
      </fill>
    </dxf>
    <dxf>
      <font>
        <color rgb="FF92400E"/>
      </font>
      <fill>
        <patternFill patternType="solid">
          <bgColor rgb="FFFEF3C7"/>
        </patternFill>
      </fill>
    </dxf>
    <dxf>
      <font>
        <b/>
        <color rgb="FF15803D"/>
      </font>
    </dxf>
    <dxf>
      <font>
        <color rgb="FF94A3B8"/>
        <strike/>
      </font>
    </dxf>
    <dxf>
      <font>
        <b/>
        <color rgb="FFB91C1C"/>
      </font>
    </dxf>
    <dxf>
      <font>
        <b/>
        <color rgb="FF92400E"/>
      </font>
      <fill>
        <patternFill patternType="solid">
          <bgColor rgb="FFFEF3C7"/>
        </patternFill>
      </fill>
    </dxf>
    <dxf>
      <font>
        <b/>
        <color rgb="FF15803D"/>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owGridLines="0"/>
  </sheetViews>
  <sheetFormatPr defaultRowHeight="15" outlineLevelRow="0" outlineLevelCol="0" x14ac:dyDescent="55"/>
  <cols>
    <col min="1" max="1" width="30" customWidth="1"/>
    <col min="2" max="6" width="14" customWidth="1"/>
    <col min="7" max="7" width="40" customWidth="1"/>
  </cols>
  <sheetData>
    <row r="1" ht="30" customHeight="1" spans="1:1" x14ac:dyDescent="0.25">
      <c r="A1" s="1" t="s">
        <v>0</v>
      </c>
    </row>
    <row r="2" spans="1:1" x14ac:dyDescent="0.25">
      <c r="A2" s="2" t="s">
        <v>1</v>
      </c>
    </row>
    <row r="4" ht="22" customHeight="1" spans="1:1" x14ac:dyDescent="0.25">
      <c r="A4" s="3" t="s">
        <v>2</v>
      </c>
    </row>
    <row r="5" ht="34" customHeight="1" spans="1:7" x14ac:dyDescent="0.25">
      <c r="A5" s="4" t="s">
        <v>3</v>
      </c>
      <c r="B5" s="5" t="s">
        <v>4</v>
      </c>
      <c r="C5" s="5"/>
      <c r="D5" s="5"/>
      <c r="E5" s="5"/>
      <c r="F5" s="5"/>
      <c r="G5" s="5"/>
    </row>
    <row r="6" ht="20" customHeight="1" spans="1:7" x14ac:dyDescent="0.25">
      <c r="A6" s="4" t="s">
        <v>5</v>
      </c>
      <c r="B6" s="5" t="s">
        <v>6</v>
      </c>
      <c r="C6" s="5"/>
      <c r="D6" s="5"/>
      <c r="E6" s="5"/>
      <c r="F6" s="5"/>
      <c r="G6" s="5"/>
    </row>
    <row r="7" ht="34" customHeight="1" spans="1:7" x14ac:dyDescent="0.25">
      <c r="A7" s="4" t="s">
        <v>7</v>
      </c>
      <c r="B7" s="5" t="s">
        <v>8</v>
      </c>
      <c r="C7" s="5"/>
      <c r="D7" s="5"/>
      <c r="E7" s="5"/>
      <c r="F7" s="5"/>
      <c r="G7" s="5"/>
    </row>
    <row r="8" ht="20" customHeight="1" spans="1:7" x14ac:dyDescent="0.25">
      <c r="A8" s="4" t="s">
        <v>9</v>
      </c>
      <c r="B8" s="5" t="s">
        <v>10</v>
      </c>
      <c r="C8" s="5"/>
      <c r="D8" s="5"/>
      <c r="E8" s="5"/>
      <c r="F8" s="5"/>
      <c r="G8" s="5"/>
    </row>
    <row r="9" ht="20" customHeight="1" spans="1:7" x14ac:dyDescent="0.25">
      <c r="A9" s="4" t="s">
        <v>11</v>
      </c>
      <c r="B9" s="5" t="s">
        <v>12</v>
      </c>
      <c r="C9" s="5"/>
      <c r="D9" s="5"/>
      <c r="E9" s="5"/>
      <c r="F9" s="5"/>
      <c r="G9" s="5"/>
    </row>
    <row r="10" ht="20" customHeight="1" spans="1:7" x14ac:dyDescent="0.25">
      <c r="A10" s="4" t="s">
        <v>13</v>
      </c>
      <c r="B10" s="5" t="s">
        <v>14</v>
      </c>
      <c r="C10" s="5"/>
      <c r="D10" s="5"/>
      <c r="E10" s="5"/>
      <c r="F10" s="5"/>
      <c r="G10" s="5"/>
    </row>
    <row r="11" ht="20" customHeight="1" spans="1:7" x14ac:dyDescent="0.25">
      <c r="A11" s="4" t="s">
        <v>15</v>
      </c>
      <c r="B11" s="5" t="s">
        <v>16</v>
      </c>
      <c r="C11" s="5"/>
      <c r="D11" s="5"/>
      <c r="E11" s="5"/>
      <c r="F11" s="5"/>
      <c r="G11" s="5"/>
    </row>
    <row r="12" ht="20" customHeight="1" spans="1:7" x14ac:dyDescent="0.25">
      <c r="A12" s="4" t="s">
        <v>17</v>
      </c>
      <c r="B12" s="5" t="s">
        <v>18</v>
      </c>
      <c r="C12" s="5"/>
      <c r="D12" s="5"/>
      <c r="E12" s="5"/>
      <c r="F12" s="5"/>
      <c r="G12" s="5"/>
    </row>
    <row r="13" ht="20" customHeight="1" spans="1:7" x14ac:dyDescent="0.25">
      <c r="A13" s="4" t="s">
        <v>19</v>
      </c>
      <c r="B13" s="5" t="s">
        <v>20</v>
      </c>
      <c r="C13" s="5"/>
      <c r="D13" s="5"/>
      <c r="E13" s="5"/>
      <c r="F13" s="5"/>
      <c r="G13" s="5"/>
    </row>
    <row r="14" ht="20" customHeight="1" spans="1:7" x14ac:dyDescent="0.25">
      <c r="A14" s="4" t="s">
        <v>21</v>
      </c>
      <c r="B14" s="5" t="s">
        <v>22</v>
      </c>
      <c r="C14" s="5"/>
      <c r="D14" s="5"/>
      <c r="E14" s="5"/>
      <c r="F14" s="5"/>
      <c r="G14" s="5"/>
    </row>
    <row r="15" ht="20" customHeight="1" spans="1:7" x14ac:dyDescent="0.25">
      <c r="A15" s="4" t="s">
        <v>23</v>
      </c>
      <c r="B15" s="5" t="s">
        <v>24</v>
      </c>
      <c r="C15" s="5"/>
      <c r="D15" s="5"/>
      <c r="E15" s="5"/>
      <c r="F15" s="5"/>
      <c r="G15" s="5"/>
    </row>
    <row r="16" ht="20" customHeight="1" spans="1:7" x14ac:dyDescent="0.25">
      <c r="A16" s="4" t="s">
        <v>25</v>
      </c>
      <c r="B16" s="5" t="s">
        <v>26</v>
      </c>
      <c r="C16" s="5"/>
      <c r="D16" s="5"/>
      <c r="E16" s="5"/>
      <c r="F16" s="5"/>
      <c r="G16" s="5"/>
    </row>
    <row r="17" ht="20" customHeight="1" spans="1:7" x14ac:dyDescent="0.25">
      <c r="A17" s="4" t="s">
        <v>27</v>
      </c>
      <c r="B17" s="5" t="s">
        <v>28</v>
      </c>
      <c r="C17" s="5"/>
      <c r="D17" s="5"/>
      <c r="E17" s="5"/>
      <c r="F17" s="5"/>
      <c r="G17" s="5"/>
    </row>
    <row r="18" ht="20" customHeight="1" spans="1:7" x14ac:dyDescent="0.25">
      <c r="A18" s="4" t="s">
        <v>29</v>
      </c>
      <c r="B18" s="5" t="s">
        <v>30</v>
      </c>
      <c r="C18" s="5"/>
      <c r="D18" s="5"/>
      <c r="E18" s="5"/>
      <c r="F18" s="5"/>
      <c r="G18" s="5"/>
    </row>
    <row r="19" ht="20" customHeight="1" spans="1:7" x14ac:dyDescent="0.25">
      <c r="A19" s="4" t="s">
        <v>31</v>
      </c>
      <c r="B19" s="5" t="s">
        <v>32</v>
      </c>
      <c r="C19" s="5"/>
      <c r="D19" s="5"/>
      <c r="E19" s="5"/>
      <c r="F19" s="5"/>
      <c r="G19" s="5"/>
    </row>
    <row r="20" ht="20" customHeight="1" spans="1:7" x14ac:dyDescent="0.25">
      <c r="A20" s="4" t="s">
        <v>33</v>
      </c>
      <c r="B20" s="5" t="s">
        <v>34</v>
      </c>
      <c r="C20" s="5"/>
      <c r="D20" s="5"/>
      <c r="E20" s="5"/>
      <c r="F20" s="5"/>
      <c r="G20" s="5"/>
    </row>
    <row r="21" ht="20" customHeight="1" spans="1:7" x14ac:dyDescent="0.25">
      <c r="A21" s="4" t="s">
        <v>35</v>
      </c>
      <c r="B21" s="5" t="s">
        <v>36</v>
      </c>
      <c r="C21" s="5"/>
      <c r="D21" s="5"/>
      <c r="E21" s="5"/>
      <c r="F21" s="5"/>
      <c r="G21" s="5"/>
    </row>
    <row r="22" ht="20" customHeight="1" spans="1:7" x14ac:dyDescent="0.25">
      <c r="A22" s="4" t="s">
        <v>37</v>
      </c>
      <c r="B22" s="5" t="s">
        <v>38</v>
      </c>
      <c r="C22" s="5"/>
      <c r="D22" s="5"/>
      <c r="E22" s="5"/>
      <c r="F22" s="5"/>
      <c r="G22" s="5"/>
    </row>
    <row r="23" ht="20" customHeight="1" spans="1:7" x14ac:dyDescent="0.25">
      <c r="A23" s="4" t="s">
        <v>39</v>
      </c>
      <c r="B23" s="5" t="s">
        <v>40</v>
      </c>
      <c r="C23" s="5"/>
      <c r="D23" s="5"/>
      <c r="E23" s="5"/>
      <c r="F23" s="5"/>
      <c r="G23" s="5"/>
    </row>
    <row r="25" ht="22" customHeight="1" spans="1:1" x14ac:dyDescent="0.25">
      <c r="A25" s="3" t="s">
        <v>41</v>
      </c>
    </row>
    <row r="26" ht="20" customHeight="1" spans="1:7" x14ac:dyDescent="0.25">
      <c r="A26" s="4" t="s">
        <v>42</v>
      </c>
      <c r="B26" s="5" t="s">
        <v>43</v>
      </c>
      <c r="C26" s="5"/>
      <c r="D26" s="5"/>
      <c r="E26" s="5"/>
      <c r="F26" s="5"/>
      <c r="G26" s="5"/>
    </row>
    <row r="27" ht="20" customHeight="1" spans="1:7" x14ac:dyDescent="0.25">
      <c r="A27" s="4" t="s">
        <v>44</v>
      </c>
      <c r="B27" s="5" t="s">
        <v>45</v>
      </c>
      <c r="C27" s="5"/>
      <c r="D27" s="5"/>
      <c r="E27" s="5"/>
      <c r="F27" s="5"/>
      <c r="G27" s="5"/>
    </row>
    <row r="28" ht="20" customHeight="1" spans="1:7" x14ac:dyDescent="0.25">
      <c r="A28" s="4" t="s">
        <v>46</v>
      </c>
      <c r="B28" s="5" t="s">
        <v>47</v>
      </c>
      <c r="C28" s="5"/>
      <c r="D28" s="5"/>
      <c r="E28" s="5"/>
      <c r="F28" s="5"/>
      <c r="G28" s="5"/>
    </row>
    <row r="29" ht="20" customHeight="1" spans="1:7" x14ac:dyDescent="0.25">
      <c r="A29" s="4" t="s">
        <v>48</v>
      </c>
      <c r="B29" s="5" t="s">
        <v>49</v>
      </c>
      <c r="C29" s="5"/>
      <c r="D29" s="5"/>
      <c r="E29" s="5"/>
      <c r="F29" s="5"/>
      <c r="G29" s="5"/>
    </row>
    <row r="30" ht="20" customHeight="1" spans="1:7" x14ac:dyDescent="0.25">
      <c r="A30" s="4" t="s">
        <v>50</v>
      </c>
      <c r="B30" s="5" t="s">
        <v>51</v>
      </c>
      <c r="C30" s="5"/>
      <c r="D30" s="5"/>
      <c r="E30" s="5"/>
      <c r="F30" s="5"/>
      <c r="G30" s="5"/>
    </row>
    <row r="31" ht="20" customHeight="1" spans="1:7" x14ac:dyDescent="0.25">
      <c r="A31" s="4" t="s">
        <v>52</v>
      </c>
      <c r="B31" s="5" t="s">
        <v>53</v>
      </c>
      <c r="C31" s="5"/>
      <c r="D31" s="5"/>
      <c r="E31" s="5"/>
      <c r="F31" s="5"/>
      <c r="G31" s="5"/>
    </row>
    <row r="33" ht="22" customHeight="1" spans="1:1" x14ac:dyDescent="0.25">
      <c r="A33" s="3" t="s">
        <v>54</v>
      </c>
    </row>
    <row r="34" ht="20" customHeight="1" spans="1:7" x14ac:dyDescent="0.25">
      <c r="A34" s="4" t="s">
        <v>55</v>
      </c>
      <c r="B34" s="5" t="s">
        <v>56</v>
      </c>
      <c r="C34" s="5"/>
      <c r="D34" s="5"/>
      <c r="E34" s="5"/>
      <c r="F34" s="5"/>
      <c r="G34" s="5"/>
    </row>
    <row r="35" ht="20" customHeight="1" spans="1:7" x14ac:dyDescent="0.25">
      <c r="A35" s="4" t="s">
        <v>57</v>
      </c>
      <c r="B35" s="5" t="s">
        <v>58</v>
      </c>
      <c r="C35" s="5"/>
      <c r="D35" s="5"/>
      <c r="E35" s="5"/>
      <c r="F35" s="5"/>
      <c r="G35" s="5"/>
    </row>
    <row r="36" ht="34" customHeight="1" spans="1:7" x14ac:dyDescent="0.25">
      <c r="A36" s="4" t="s">
        <v>59</v>
      </c>
      <c r="B36" s="5" t="s">
        <v>60</v>
      </c>
      <c r="C36" s="5"/>
      <c r="D36" s="5"/>
      <c r="E36" s="5"/>
      <c r="F36" s="5"/>
      <c r="G36" s="5"/>
    </row>
    <row r="37" ht="20" customHeight="1" spans="1:7" x14ac:dyDescent="0.25">
      <c r="A37" s="4" t="s">
        <v>61</v>
      </c>
      <c r="B37" s="6" t="s">
        <v>62</v>
      </c>
      <c r="C37" s="6"/>
      <c r="D37" s="6"/>
      <c r="E37" s="6"/>
      <c r="F37" s="6"/>
      <c r="G37" s="6"/>
    </row>
    <row r="39" ht="22" customHeight="1" spans="1:1" x14ac:dyDescent="0.25">
      <c r="A39" s="3" t="s">
        <v>63</v>
      </c>
    </row>
    <row r="40" ht="24" customHeight="1" spans="1:6" x14ac:dyDescent="0.25">
      <c r="A40" s="7" t="s">
        <v>64</v>
      </c>
      <c r="B40" s="7" t="s">
        <v>65</v>
      </c>
      <c r="C40" s="7" t="s">
        <v>66</v>
      </c>
      <c r="D40" s="7" t="s">
        <v>67</v>
      </c>
      <c r="E40" s="7" t="s">
        <v>68</v>
      </c>
      <c r="F40" s="7" t="s">
        <v>69</v>
      </c>
    </row>
    <row r="41" ht="20" customHeight="1" spans="1:6" x14ac:dyDescent="0.25">
      <c r="A41" s="8" t="s">
        <v>70</v>
      </c>
      <c r="B41" s="9">
        <f>COUNTIFS('기능 요구사항'!$B$5:$B$64,$A41,'기능 요구사항'!$F$5:$F$64,B$40)</f>
        <v>15</v>
      </c>
      <c r="C41" s="9">
        <f>COUNTIFS('기능 요구사항'!$B$5:$B$64,$A41,'기능 요구사항'!$F$5:$F$64,C$40)</f>
        <v>1</v>
      </c>
      <c r="D41" s="9">
        <f>COUNTIFS('기능 요구사항'!$B$5:$B$64,$A41,'기능 요구사항'!$F$5:$F$64,D$40)</f>
        <v>2</v>
      </c>
      <c r="E41" s="9">
        <f>SUM(B41:D41)</f>
        <v>18</v>
      </c>
      <c r="F41" s="9">
        <f>COUNTIFS('기능 요구사항'!$B$5:$B$64,$A41,'기능 요구사항'!$H$5:$H$64,"미확정")</f>
        <v>0</v>
      </c>
    </row>
    <row r="42" ht="20" customHeight="1" spans="1:6" x14ac:dyDescent="0.25">
      <c r="A42" s="8" t="s">
        <v>71</v>
      </c>
      <c r="B42" s="9">
        <f>COUNTIFS('기능 요구사항'!$B$5:$B$64,$A42,'기능 요구사항'!$F$5:$F$64,B$40)</f>
        <v>12</v>
      </c>
      <c r="C42" s="9">
        <f>COUNTIFS('기능 요구사항'!$B$5:$B$64,$A42,'기능 요구사항'!$F$5:$F$64,C$40)</f>
        <v>1</v>
      </c>
      <c r="D42" s="9">
        <f>COUNTIFS('기능 요구사항'!$B$5:$B$64,$A42,'기능 요구사항'!$F$5:$F$64,D$40)</f>
        <v>0</v>
      </c>
      <c r="E42" s="9">
        <f>SUM(B42:D42)</f>
        <v>13</v>
      </c>
      <c r="F42" s="9">
        <f>COUNTIFS('기능 요구사항'!$B$5:$B$64,$A42,'기능 요구사항'!$H$5:$H$64,"미확정")</f>
        <v>0</v>
      </c>
    </row>
    <row r="43" ht="20" customHeight="1" spans="1:6" x14ac:dyDescent="0.25">
      <c r="A43" s="8" t="s">
        <v>72</v>
      </c>
      <c r="B43" s="9">
        <f>COUNTIFS('기능 요구사항'!$B$5:$B$64,$A43,'기능 요구사항'!$F$5:$F$64,B$40)</f>
        <v>2</v>
      </c>
      <c r="C43" s="9">
        <f>COUNTIFS('기능 요구사항'!$B$5:$B$64,$A43,'기능 요구사항'!$F$5:$F$64,C$40)</f>
        <v>2</v>
      </c>
      <c r="D43" s="9">
        <f>COUNTIFS('기능 요구사항'!$B$5:$B$64,$A43,'기능 요구사항'!$F$5:$F$64,D$40)</f>
        <v>0</v>
      </c>
      <c r="E43" s="9">
        <f>SUM(B43:D43)</f>
        <v>4</v>
      </c>
      <c r="F43" s="9">
        <f>COUNTIFS('기능 요구사항'!$B$5:$B$64,$A43,'기능 요구사항'!$H$5:$H$64,"미확정")</f>
        <v>0</v>
      </c>
    </row>
    <row r="44" ht="20" customHeight="1" spans="1:6" x14ac:dyDescent="0.25">
      <c r="A44" s="8" t="s">
        <v>73</v>
      </c>
      <c r="B44" s="9">
        <f>COUNTIFS('기능 요구사항'!$B$5:$B$64,$A44,'기능 요구사항'!$F$5:$F$64,B$40)</f>
        <v>14</v>
      </c>
      <c r="C44" s="9">
        <f>COUNTIFS('기능 요구사항'!$B$5:$B$64,$A44,'기능 요구사항'!$F$5:$F$64,C$40)</f>
        <v>1</v>
      </c>
      <c r="D44" s="9">
        <f>COUNTIFS('기능 요구사항'!$B$5:$B$64,$A44,'기능 요구사항'!$F$5:$F$64,D$40)</f>
        <v>2</v>
      </c>
      <c r="E44" s="9">
        <f>SUM(B44:D44)</f>
        <v>17</v>
      </c>
      <c r="F44" s="9">
        <f>COUNTIFS('기능 요구사항'!$B$5:$B$64,$A44,'기능 요구사항'!$H$5:$H$64,"미확정")</f>
        <v>0</v>
      </c>
    </row>
    <row r="45" ht="20" customHeight="1" spans="1:6" x14ac:dyDescent="0.25">
      <c r="A45" s="8" t="s">
        <v>74</v>
      </c>
      <c r="B45" s="9">
        <f>COUNTIFS('기능 요구사항'!$B$5:$B$64,$A45,'기능 요구사항'!$F$5:$F$64,B$40)</f>
        <v>7</v>
      </c>
      <c r="C45" s="9">
        <f>COUNTIFS('기능 요구사항'!$B$5:$B$64,$A45,'기능 요구사항'!$F$5:$F$64,C$40)</f>
        <v>1</v>
      </c>
      <c r="D45" s="9">
        <f>COUNTIFS('기능 요구사항'!$B$5:$B$64,$A45,'기능 요구사항'!$F$5:$F$64,D$40)</f>
        <v>0</v>
      </c>
      <c r="E45" s="9">
        <f>SUM(B45:D45)</f>
        <v>8</v>
      </c>
      <c r="F45" s="9">
        <f>COUNTIFS('기능 요구사항'!$B$5:$B$64,$A45,'기능 요구사항'!$H$5:$H$64,"미확정")</f>
        <v>0</v>
      </c>
    </row>
    <row r="46" ht="20" customHeight="1" spans="1:6" x14ac:dyDescent="0.25">
      <c r="A46" s="10" t="s">
        <v>68</v>
      </c>
      <c r="B46" s="11">
        <f>SUM(B41:B45)</f>
        <v>50</v>
      </c>
      <c r="C46" s="11">
        <f>SUM(C41:C45)</f>
        <v>6</v>
      </c>
      <c r="D46" s="11">
        <f>SUM(D41:D45)</f>
        <v>4</v>
      </c>
      <c r="E46" s="11">
        <f>SUM(E41:E45)</f>
        <v>60</v>
      </c>
      <c r="F46" s="11">
        <f>SUM(F41:F45)</f>
        <v>0</v>
      </c>
    </row>
    <row r="48" ht="22" customHeight="1" spans="1:1" x14ac:dyDescent="0.25">
      <c r="A48" s="3" t="s">
        <v>75</v>
      </c>
    </row>
    <row r="49" ht="20" customHeight="1" spans="1:2" x14ac:dyDescent="0.25">
      <c r="A49" s="12" t="s">
        <v>76</v>
      </c>
      <c r="B49" s="13">
        <f>COUNTA('기능 요구사항'!$A$5:$A$64)</f>
        <v>60</v>
      </c>
    </row>
    <row r="50" ht="20" customHeight="1" spans="1:2" x14ac:dyDescent="0.25">
      <c r="A50" s="12" t="s">
        <v>77</v>
      </c>
      <c r="B50" s="13">
        <f>COUNTA('비기능 요구사항'!$A$5:$A$32)</f>
        <v>28</v>
      </c>
    </row>
    <row r="51" ht="20" customHeight="1" spans="1:2" x14ac:dyDescent="0.25">
      <c r="A51" s="12" t="s">
        <v>78</v>
      </c>
      <c r="B51" s="13">
        <f>COUNTA('화면 목록'!$A$5:$A$32)</f>
        <v>28</v>
      </c>
    </row>
    <row r="52" ht="20" customHeight="1" spans="1:2" x14ac:dyDescent="0.25">
      <c r="A52" s="12" t="s">
        <v>79</v>
      </c>
      <c r="B52" s="13">
        <f>COUNTIFS('미확정 사항'!$G$6:$G28,"&lt;&gt;결정",'미확정 사항'!$G$6:$G28,"&lt;&gt;")</f>
        <v>1</v>
      </c>
    </row>
  </sheetData>
  <mergeCells count="29">
    <mergeCell ref="B5:G5"/>
    <mergeCell ref="B6:G6"/>
    <mergeCell ref="B7:G7"/>
    <mergeCell ref="B8:G8"/>
    <mergeCell ref="B9:G9"/>
    <mergeCell ref="B10:G10"/>
    <mergeCell ref="B11:G11"/>
    <mergeCell ref="B12:G12"/>
    <mergeCell ref="B13:G13"/>
    <mergeCell ref="B14:G14"/>
    <mergeCell ref="B15:G15"/>
    <mergeCell ref="B16:G16"/>
    <mergeCell ref="B17:G17"/>
    <mergeCell ref="B18:G18"/>
    <mergeCell ref="B19:G19"/>
    <mergeCell ref="B20:G20"/>
    <mergeCell ref="B21:G21"/>
    <mergeCell ref="B22:G22"/>
    <mergeCell ref="B23:G23"/>
    <mergeCell ref="B26:G26"/>
    <mergeCell ref="B27:G27"/>
    <mergeCell ref="B28:G28"/>
    <mergeCell ref="B29:G29"/>
    <mergeCell ref="B30:G30"/>
    <mergeCell ref="B31:G31"/>
    <mergeCell ref="B34:G34"/>
    <mergeCell ref="B35:G35"/>
    <mergeCell ref="B36:G36"/>
    <mergeCell ref="B37:G3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
  <sheetViews>
    <sheetView workbookViewId="0" showGridLines="0">
      <pane xSplit="1" ySplit="4" topLeftCell="B5" activePane="bottomRight" state="frozen"/>
      <selection pane="bottomRight"/>
    </sheetView>
  </sheetViews>
  <sheetFormatPr defaultRowHeight="15" outlineLevelRow="0" outlineLevelCol="0" x14ac:dyDescent="55"/>
  <cols>
    <col min="1" max="1" width="10" customWidth="1"/>
    <col min="2" max="2" width="12" customWidth="1"/>
    <col min="3" max="3" width="11" customWidth="1"/>
    <col min="4" max="4" width="22" customWidth="1"/>
    <col min="5" max="5" width="58" customWidth="1"/>
    <col min="7" max="7" width="11" customWidth="1"/>
    <col min="8" max="8" width="10" customWidth="1"/>
    <col min="9" max="9" width="11" customWidth="1"/>
    <col min="10" max="10" width="12" customWidth="1"/>
    <col min="11" max="11" width="34" customWidth="1"/>
  </cols>
  <sheetData>
    <row r="1" ht="30" customHeight="1" spans="1:1" x14ac:dyDescent="0.25">
      <c r="A1" s="1" t="s">
        <v>42</v>
      </c>
    </row>
    <row r="2" spans="1:1" x14ac:dyDescent="0.25">
      <c r="A2" s="2" t="s">
        <v>80</v>
      </c>
    </row>
    <row r="4" ht="24" customHeight="1" spans="1:11" x14ac:dyDescent="0.25">
      <c r="A4" s="7" t="s">
        <v>81</v>
      </c>
      <c r="B4" s="7" t="s">
        <v>64</v>
      </c>
      <c r="C4" s="7" t="s">
        <v>82</v>
      </c>
      <c r="D4" s="7" t="s">
        <v>83</v>
      </c>
      <c r="E4" s="7" t="s">
        <v>84</v>
      </c>
      <c r="F4" s="7" t="s">
        <v>55</v>
      </c>
      <c r="G4" s="7" t="s">
        <v>57</v>
      </c>
      <c r="H4" s="7" t="s">
        <v>59</v>
      </c>
      <c r="I4" s="7" t="s">
        <v>85</v>
      </c>
      <c r="J4" s="7" t="s">
        <v>86</v>
      </c>
      <c r="K4" s="7" t="s">
        <v>87</v>
      </c>
    </row>
    <row r="5" ht="50" customHeight="1" spans="1:11" x14ac:dyDescent="0.25">
      <c r="A5" s="14" t="s">
        <v>88</v>
      </c>
      <c r="B5" s="15" t="s">
        <v>70</v>
      </c>
      <c r="C5" s="15" t="s">
        <v>89</v>
      </c>
      <c r="D5" s="15" t="s">
        <v>90</v>
      </c>
      <c r="E5" s="15" t="s">
        <v>91</v>
      </c>
      <c r="F5" s="14" t="s">
        <v>65</v>
      </c>
      <c r="G5" s="14" t="s">
        <v>92</v>
      </c>
      <c r="H5" s="14" t="s">
        <v>93</v>
      </c>
      <c r="I5" s="14" t="s">
        <v>94</v>
      </c>
      <c r="J5" s="15" t="s">
        <v>95</v>
      </c>
      <c r="K5" s="15" t="s">
        <v>96</v>
      </c>
    </row>
    <row r="6" ht="35" customHeight="1" spans="1:11" x14ac:dyDescent="0.25">
      <c r="A6" s="16" t="s">
        <v>97</v>
      </c>
      <c r="B6" s="17" t="s">
        <v>70</v>
      </c>
      <c r="C6" s="17" t="s">
        <v>89</v>
      </c>
      <c r="D6" s="17" t="s">
        <v>98</v>
      </c>
      <c r="E6" s="17" t="s">
        <v>99</v>
      </c>
      <c r="F6" s="16" t="s">
        <v>66</v>
      </c>
      <c r="G6" s="16" t="s">
        <v>92</v>
      </c>
      <c r="H6" s="16" t="s">
        <v>93</v>
      </c>
      <c r="I6" s="16" t="s">
        <v>94</v>
      </c>
      <c r="J6" s="17" t="s">
        <v>95</v>
      </c>
      <c r="K6" s="17" t="s">
        <v>100</v>
      </c>
    </row>
    <row r="7" ht="35" customHeight="1" spans="1:11" x14ac:dyDescent="0.25">
      <c r="A7" s="14" t="s">
        <v>101</v>
      </c>
      <c r="B7" s="15" t="s">
        <v>70</v>
      </c>
      <c r="C7" s="15" t="s">
        <v>89</v>
      </c>
      <c r="D7" s="15" t="s">
        <v>102</v>
      </c>
      <c r="E7" s="15" t="s">
        <v>103</v>
      </c>
      <c r="F7" s="14" t="s">
        <v>65</v>
      </c>
      <c r="G7" s="14" t="s">
        <v>92</v>
      </c>
      <c r="H7" s="14" t="s">
        <v>93</v>
      </c>
      <c r="I7" s="14" t="s">
        <v>104</v>
      </c>
      <c r="J7" s="15" t="s">
        <v>105</v>
      </c>
      <c r="K7" s="15" t="s">
        <v>106</v>
      </c>
    </row>
    <row r="8" ht="35" customHeight="1" spans="1:11" x14ac:dyDescent="0.25">
      <c r="A8" s="16" t="s">
        <v>107</v>
      </c>
      <c r="B8" s="17" t="s">
        <v>70</v>
      </c>
      <c r="C8" s="17" t="s">
        <v>108</v>
      </c>
      <c r="D8" s="17" t="s">
        <v>109</v>
      </c>
      <c r="E8" s="17" t="s">
        <v>110</v>
      </c>
      <c r="F8" s="16" t="s">
        <v>65</v>
      </c>
      <c r="G8" s="16" t="s">
        <v>92</v>
      </c>
      <c r="H8" s="16" t="s">
        <v>93</v>
      </c>
      <c r="I8" s="16" t="s">
        <v>111</v>
      </c>
      <c r="J8" s="17" t="s">
        <v>112</v>
      </c>
      <c r="K8" s="17" t="s">
        <v>113</v>
      </c>
    </row>
    <row r="9" ht="35" customHeight="1" spans="1:11" x14ac:dyDescent="0.25">
      <c r="A9" s="14" t="s">
        <v>114</v>
      </c>
      <c r="B9" s="15" t="s">
        <v>70</v>
      </c>
      <c r="C9" s="15" t="s">
        <v>115</v>
      </c>
      <c r="D9" s="15" t="s">
        <v>116</v>
      </c>
      <c r="E9" s="15" t="s">
        <v>117</v>
      </c>
      <c r="F9" s="14" t="s">
        <v>65</v>
      </c>
      <c r="G9" s="14" t="s">
        <v>92</v>
      </c>
      <c r="H9" s="14" t="s">
        <v>93</v>
      </c>
      <c r="I9" s="14" t="s">
        <v>118</v>
      </c>
      <c r="J9" s="15" t="s">
        <v>119</v>
      </c>
      <c r="K9" s="15" t="s">
        <v>120</v>
      </c>
    </row>
    <row r="10" ht="65" customHeight="1" spans="1:11" x14ac:dyDescent="0.25">
      <c r="A10" s="16" t="s">
        <v>121</v>
      </c>
      <c r="B10" s="17" t="s">
        <v>70</v>
      </c>
      <c r="C10" s="17" t="s">
        <v>122</v>
      </c>
      <c r="D10" s="17" t="s">
        <v>123</v>
      </c>
      <c r="E10" s="17" t="s">
        <v>124</v>
      </c>
      <c r="F10" s="16" t="s">
        <v>65</v>
      </c>
      <c r="G10" s="16" t="s">
        <v>125</v>
      </c>
      <c r="H10" s="16" t="s">
        <v>93</v>
      </c>
      <c r="I10" s="16" t="s">
        <v>126</v>
      </c>
      <c r="J10" s="17" t="s">
        <v>119</v>
      </c>
      <c r="K10" s="17" t="s">
        <v>127</v>
      </c>
    </row>
    <row r="11" ht="200" customHeight="1" spans="1:11" x14ac:dyDescent="0.25">
      <c r="A11" s="14" t="s">
        <v>128</v>
      </c>
      <c r="B11" s="15" t="s">
        <v>70</v>
      </c>
      <c r="C11" s="15" t="s">
        <v>122</v>
      </c>
      <c r="D11" s="15" t="s">
        <v>129</v>
      </c>
      <c r="E11" s="15" t="s">
        <v>130</v>
      </c>
      <c r="F11" s="14" t="s">
        <v>65</v>
      </c>
      <c r="G11" s="14" t="s">
        <v>125</v>
      </c>
      <c r="H11" s="14" t="s">
        <v>93</v>
      </c>
      <c r="I11" s="14" t="s">
        <v>131</v>
      </c>
      <c r="J11" s="15" t="s">
        <v>132</v>
      </c>
      <c r="K11" s="15" t="s">
        <v>133</v>
      </c>
    </row>
    <row r="12" ht="35" customHeight="1" spans="1:11" x14ac:dyDescent="0.25">
      <c r="A12" s="16" t="s">
        <v>134</v>
      </c>
      <c r="B12" s="17" t="s">
        <v>70</v>
      </c>
      <c r="C12" s="17" t="s">
        <v>135</v>
      </c>
      <c r="D12" s="17" t="s">
        <v>136</v>
      </c>
      <c r="E12" s="17" t="s">
        <v>137</v>
      </c>
      <c r="F12" s="16" t="s">
        <v>65</v>
      </c>
      <c r="G12" s="16" t="s">
        <v>92</v>
      </c>
      <c r="H12" s="16" t="s">
        <v>93</v>
      </c>
      <c r="I12" s="16" t="s">
        <v>111</v>
      </c>
      <c r="J12" s="17" t="s">
        <v>112</v>
      </c>
      <c r="K12" s="17" t="s">
        <v>96</v>
      </c>
    </row>
    <row r="13" ht="80" customHeight="1" spans="1:11" x14ac:dyDescent="0.25">
      <c r="A13" s="14" t="s">
        <v>138</v>
      </c>
      <c r="B13" s="15" t="s">
        <v>70</v>
      </c>
      <c r="C13" s="15" t="s">
        <v>135</v>
      </c>
      <c r="D13" s="15" t="s">
        <v>139</v>
      </c>
      <c r="E13" s="15" t="s">
        <v>140</v>
      </c>
      <c r="F13" s="14" t="s">
        <v>65</v>
      </c>
      <c r="G13" s="14" t="s">
        <v>92</v>
      </c>
      <c r="H13" s="14" t="s">
        <v>93</v>
      </c>
      <c r="I13" s="14" t="s">
        <v>111</v>
      </c>
      <c r="J13" s="15" t="s">
        <v>112</v>
      </c>
      <c r="K13" s="15" t="s">
        <v>141</v>
      </c>
    </row>
    <row r="14" ht="35" customHeight="1" spans="1:11" x14ac:dyDescent="0.25">
      <c r="A14" s="16" t="s">
        <v>142</v>
      </c>
      <c r="B14" s="17" t="s">
        <v>70</v>
      </c>
      <c r="C14" s="17" t="s">
        <v>135</v>
      </c>
      <c r="D14" s="17" t="s">
        <v>143</v>
      </c>
      <c r="E14" s="17" t="s">
        <v>144</v>
      </c>
      <c r="F14" s="16" t="s">
        <v>65</v>
      </c>
      <c r="G14" s="16" t="s">
        <v>92</v>
      </c>
      <c r="H14" s="16" t="s">
        <v>93</v>
      </c>
      <c r="I14" s="16" t="s">
        <v>145</v>
      </c>
      <c r="J14" s="17" t="s">
        <v>146</v>
      </c>
      <c r="K14" s="17" t="s">
        <v>96</v>
      </c>
    </row>
    <row r="15" ht="50" customHeight="1" spans="1:11" x14ac:dyDescent="0.25">
      <c r="A15" s="14" t="s">
        <v>147</v>
      </c>
      <c r="B15" s="15" t="s">
        <v>70</v>
      </c>
      <c r="C15" s="15" t="s">
        <v>135</v>
      </c>
      <c r="D15" s="15" t="s">
        <v>148</v>
      </c>
      <c r="E15" s="15" t="s">
        <v>149</v>
      </c>
      <c r="F15" s="14" t="s">
        <v>65</v>
      </c>
      <c r="G15" s="14" t="s">
        <v>92</v>
      </c>
      <c r="H15" s="14" t="s">
        <v>93</v>
      </c>
      <c r="I15" s="14" t="s">
        <v>150</v>
      </c>
      <c r="J15" s="15" t="s">
        <v>151</v>
      </c>
      <c r="K15" s="15" t="s">
        <v>152</v>
      </c>
    </row>
    <row r="16" ht="35" customHeight="1" spans="1:11" x14ac:dyDescent="0.25">
      <c r="A16" s="16" t="s">
        <v>153</v>
      </c>
      <c r="B16" s="17" t="s">
        <v>70</v>
      </c>
      <c r="C16" s="17" t="s">
        <v>135</v>
      </c>
      <c r="D16" s="17" t="s">
        <v>154</v>
      </c>
      <c r="E16" s="17" t="s">
        <v>155</v>
      </c>
      <c r="F16" s="16" t="s">
        <v>65</v>
      </c>
      <c r="G16" s="16" t="s">
        <v>125</v>
      </c>
      <c r="H16" s="16" t="s">
        <v>93</v>
      </c>
      <c r="I16" s="16" t="s">
        <v>156</v>
      </c>
      <c r="J16" s="17" t="s">
        <v>151</v>
      </c>
      <c r="K16" s="17" t="s">
        <v>157</v>
      </c>
    </row>
    <row r="17" ht="35" customHeight="1" spans="1:11" x14ac:dyDescent="0.25">
      <c r="A17" s="14" t="s">
        <v>158</v>
      </c>
      <c r="B17" s="15" t="s">
        <v>70</v>
      </c>
      <c r="C17" s="15" t="s">
        <v>135</v>
      </c>
      <c r="D17" s="15" t="s">
        <v>159</v>
      </c>
      <c r="E17" s="15" t="s">
        <v>160</v>
      </c>
      <c r="F17" s="14" t="s">
        <v>65</v>
      </c>
      <c r="G17" s="14" t="s">
        <v>92</v>
      </c>
      <c r="H17" s="14" t="s">
        <v>93</v>
      </c>
      <c r="I17" s="14" t="s">
        <v>145</v>
      </c>
      <c r="J17" s="15" t="s">
        <v>161</v>
      </c>
      <c r="K17" s="15" t="s">
        <v>162</v>
      </c>
    </row>
    <row r="18" ht="50" customHeight="1" spans="1:11" x14ac:dyDescent="0.25">
      <c r="A18" s="16" t="s">
        <v>163</v>
      </c>
      <c r="B18" s="17" t="s">
        <v>70</v>
      </c>
      <c r="C18" s="17" t="s">
        <v>135</v>
      </c>
      <c r="D18" s="17" t="s">
        <v>164</v>
      </c>
      <c r="E18" s="17" t="s">
        <v>165</v>
      </c>
      <c r="F18" s="16" t="s">
        <v>65</v>
      </c>
      <c r="G18" s="16" t="s">
        <v>125</v>
      </c>
      <c r="H18" s="16" t="s">
        <v>93</v>
      </c>
      <c r="I18" s="16" t="s">
        <v>166</v>
      </c>
      <c r="J18" s="17" t="s">
        <v>112</v>
      </c>
      <c r="K18" s="17" t="s">
        <v>167</v>
      </c>
    </row>
    <row r="19" ht="35" customHeight="1" spans="1:11" x14ac:dyDescent="0.25">
      <c r="A19" s="14" t="s">
        <v>168</v>
      </c>
      <c r="B19" s="15" t="s">
        <v>70</v>
      </c>
      <c r="C19" s="15" t="s">
        <v>135</v>
      </c>
      <c r="D19" s="15" t="s">
        <v>169</v>
      </c>
      <c r="E19" s="15" t="s">
        <v>170</v>
      </c>
      <c r="F19" s="14" t="s">
        <v>65</v>
      </c>
      <c r="G19" s="14" t="s">
        <v>171</v>
      </c>
      <c r="H19" s="14" t="s">
        <v>172</v>
      </c>
      <c r="I19" s="14" t="s">
        <v>145</v>
      </c>
      <c r="J19" s="15" t="s">
        <v>173</v>
      </c>
      <c r="K19" s="15" t="s">
        <v>96</v>
      </c>
    </row>
    <row r="20" ht="125" customHeight="1" spans="1:11" x14ac:dyDescent="0.25">
      <c r="A20" s="16" t="s">
        <v>174</v>
      </c>
      <c r="B20" s="17" t="s">
        <v>70</v>
      </c>
      <c r="C20" s="17" t="s">
        <v>175</v>
      </c>
      <c r="D20" s="17" t="s">
        <v>176</v>
      </c>
      <c r="E20" s="17" t="s">
        <v>177</v>
      </c>
      <c r="F20" s="16" t="s">
        <v>65</v>
      </c>
      <c r="G20" s="16" t="s">
        <v>92</v>
      </c>
      <c r="H20" s="16" t="s">
        <v>93</v>
      </c>
      <c r="I20" s="16" t="s">
        <v>178</v>
      </c>
      <c r="J20" s="17" t="s">
        <v>179</v>
      </c>
      <c r="K20" s="17" t="s">
        <v>180</v>
      </c>
    </row>
    <row r="21" ht="35" customHeight="1" spans="1:11" x14ac:dyDescent="0.25">
      <c r="A21" s="14" t="s">
        <v>181</v>
      </c>
      <c r="B21" s="15" t="s">
        <v>70</v>
      </c>
      <c r="C21" s="15" t="s">
        <v>182</v>
      </c>
      <c r="D21" s="15" t="s">
        <v>183</v>
      </c>
      <c r="E21" s="15" t="s">
        <v>184</v>
      </c>
      <c r="F21" s="14" t="s">
        <v>67</v>
      </c>
      <c r="G21" s="14" t="s">
        <v>171</v>
      </c>
      <c r="H21" s="14" t="s">
        <v>172</v>
      </c>
      <c r="I21" s="14" t="s">
        <v>185</v>
      </c>
      <c r="J21" s="15" t="s">
        <v>186</v>
      </c>
      <c r="K21" s="15" t="s">
        <v>96</v>
      </c>
    </row>
    <row r="22" ht="35" customHeight="1" spans="1:11" x14ac:dyDescent="0.25">
      <c r="A22" s="16" t="s">
        <v>187</v>
      </c>
      <c r="B22" s="17" t="s">
        <v>70</v>
      </c>
      <c r="C22" s="17" t="s">
        <v>108</v>
      </c>
      <c r="D22" s="17" t="s">
        <v>188</v>
      </c>
      <c r="E22" s="17" t="s">
        <v>189</v>
      </c>
      <c r="F22" s="16" t="s">
        <v>67</v>
      </c>
      <c r="G22" s="16" t="s">
        <v>171</v>
      </c>
      <c r="H22" s="16" t="s">
        <v>172</v>
      </c>
      <c r="I22" s="16" t="s">
        <v>185</v>
      </c>
      <c r="J22" s="17" t="s">
        <v>190</v>
      </c>
      <c r="K22" s="17" t="s">
        <v>96</v>
      </c>
    </row>
    <row r="23" ht="65" customHeight="1" spans="1:11" x14ac:dyDescent="0.25">
      <c r="A23" s="14" t="s">
        <v>191</v>
      </c>
      <c r="B23" s="15" t="s">
        <v>71</v>
      </c>
      <c r="C23" s="15" t="s">
        <v>89</v>
      </c>
      <c r="D23" s="15" t="s">
        <v>192</v>
      </c>
      <c r="E23" s="15" t="s">
        <v>193</v>
      </c>
      <c r="F23" s="14" t="s">
        <v>65</v>
      </c>
      <c r="G23" s="14" t="s">
        <v>125</v>
      </c>
      <c r="H23" s="14" t="s">
        <v>93</v>
      </c>
      <c r="I23" s="14" t="s">
        <v>194</v>
      </c>
      <c r="J23" s="15" t="s">
        <v>195</v>
      </c>
      <c r="K23" s="15" t="s">
        <v>196</v>
      </c>
    </row>
    <row r="24" ht="35" customHeight="1" spans="1:11" x14ac:dyDescent="0.25">
      <c r="A24" s="16" t="s">
        <v>197</v>
      </c>
      <c r="B24" s="17" t="s">
        <v>71</v>
      </c>
      <c r="C24" s="17" t="s">
        <v>108</v>
      </c>
      <c r="D24" s="17" t="s">
        <v>198</v>
      </c>
      <c r="E24" s="17" t="s">
        <v>199</v>
      </c>
      <c r="F24" s="16" t="s">
        <v>65</v>
      </c>
      <c r="G24" s="16" t="s">
        <v>92</v>
      </c>
      <c r="H24" s="16" t="s">
        <v>93</v>
      </c>
      <c r="I24" s="16" t="s">
        <v>194</v>
      </c>
      <c r="J24" s="17" t="s">
        <v>200</v>
      </c>
      <c r="K24" s="17" t="s">
        <v>96</v>
      </c>
    </row>
    <row r="25" ht="65" customHeight="1" spans="1:11" x14ac:dyDescent="0.25">
      <c r="A25" s="14" t="s">
        <v>201</v>
      </c>
      <c r="B25" s="15" t="s">
        <v>71</v>
      </c>
      <c r="C25" s="15" t="s">
        <v>202</v>
      </c>
      <c r="D25" s="15" t="s">
        <v>203</v>
      </c>
      <c r="E25" s="15" t="s">
        <v>204</v>
      </c>
      <c r="F25" s="14" t="s">
        <v>65</v>
      </c>
      <c r="G25" s="14" t="s">
        <v>92</v>
      </c>
      <c r="H25" s="14" t="s">
        <v>93</v>
      </c>
      <c r="I25" s="14" t="s">
        <v>205</v>
      </c>
      <c r="J25" s="15" t="s">
        <v>206</v>
      </c>
      <c r="K25" s="15" t="s">
        <v>96</v>
      </c>
    </row>
    <row r="26" ht="35" customHeight="1" spans="1:11" x14ac:dyDescent="0.25">
      <c r="A26" s="16" t="s">
        <v>207</v>
      </c>
      <c r="B26" s="17" t="s">
        <v>71</v>
      </c>
      <c r="C26" s="17" t="s">
        <v>202</v>
      </c>
      <c r="D26" s="17" t="s">
        <v>208</v>
      </c>
      <c r="E26" s="17" t="s">
        <v>209</v>
      </c>
      <c r="F26" s="16" t="s">
        <v>66</v>
      </c>
      <c r="G26" s="16" t="s">
        <v>171</v>
      </c>
      <c r="H26" s="16" t="s">
        <v>172</v>
      </c>
      <c r="I26" s="16" t="s">
        <v>205</v>
      </c>
      <c r="J26" s="17" t="s">
        <v>206</v>
      </c>
      <c r="K26" s="17" t="s">
        <v>96</v>
      </c>
    </row>
    <row r="27" ht="110" customHeight="1" spans="1:11" x14ac:dyDescent="0.25">
      <c r="A27" s="14" t="s">
        <v>210</v>
      </c>
      <c r="B27" s="15" t="s">
        <v>71</v>
      </c>
      <c r="C27" s="15" t="s">
        <v>202</v>
      </c>
      <c r="D27" s="15" t="s">
        <v>211</v>
      </c>
      <c r="E27" s="15" t="s">
        <v>212</v>
      </c>
      <c r="F27" s="14" t="s">
        <v>65</v>
      </c>
      <c r="G27" s="14" t="s">
        <v>92</v>
      </c>
      <c r="H27" s="14" t="s">
        <v>93</v>
      </c>
      <c r="I27" s="14" t="s">
        <v>205</v>
      </c>
      <c r="J27" s="15" t="s">
        <v>206</v>
      </c>
      <c r="K27" s="15" t="s">
        <v>213</v>
      </c>
    </row>
    <row r="28" ht="35" customHeight="1" spans="1:11" x14ac:dyDescent="0.25">
      <c r="A28" s="16" t="s">
        <v>214</v>
      </c>
      <c r="B28" s="17" t="s">
        <v>71</v>
      </c>
      <c r="C28" s="17" t="s">
        <v>202</v>
      </c>
      <c r="D28" s="17" t="s">
        <v>215</v>
      </c>
      <c r="E28" s="17" t="s">
        <v>216</v>
      </c>
      <c r="F28" s="16" t="s">
        <v>65</v>
      </c>
      <c r="G28" s="16" t="s">
        <v>92</v>
      </c>
      <c r="H28" s="16" t="s">
        <v>93</v>
      </c>
      <c r="I28" s="16" t="s">
        <v>217</v>
      </c>
      <c r="J28" s="17" t="s">
        <v>206</v>
      </c>
      <c r="K28" s="17" t="s">
        <v>218</v>
      </c>
    </row>
    <row r="29" ht="35" customHeight="1" spans="1:11" x14ac:dyDescent="0.25">
      <c r="A29" s="14" t="s">
        <v>219</v>
      </c>
      <c r="B29" s="15" t="s">
        <v>71</v>
      </c>
      <c r="C29" s="15" t="s">
        <v>220</v>
      </c>
      <c r="D29" s="15" t="s">
        <v>221</v>
      </c>
      <c r="E29" s="15" t="s">
        <v>222</v>
      </c>
      <c r="F29" s="14" t="s">
        <v>65</v>
      </c>
      <c r="G29" s="14" t="s">
        <v>125</v>
      </c>
      <c r="H29" s="14" t="s">
        <v>93</v>
      </c>
      <c r="I29" s="14" t="s">
        <v>223</v>
      </c>
      <c r="J29" s="15" t="s">
        <v>224</v>
      </c>
      <c r="K29" s="15" t="s">
        <v>225</v>
      </c>
    </row>
    <row r="30" ht="140" customHeight="1" spans="1:11" x14ac:dyDescent="0.25">
      <c r="A30" s="16" t="s">
        <v>226</v>
      </c>
      <c r="B30" s="17" t="s">
        <v>71</v>
      </c>
      <c r="C30" s="17" t="s">
        <v>227</v>
      </c>
      <c r="D30" s="17" t="s">
        <v>228</v>
      </c>
      <c r="E30" s="17" t="s">
        <v>229</v>
      </c>
      <c r="F30" s="16" t="s">
        <v>65</v>
      </c>
      <c r="G30" s="16" t="s">
        <v>92</v>
      </c>
      <c r="H30" s="16" t="s">
        <v>93</v>
      </c>
      <c r="I30" s="16" t="s">
        <v>230</v>
      </c>
      <c r="J30" s="17" t="s">
        <v>231</v>
      </c>
      <c r="K30" s="17" t="s">
        <v>232</v>
      </c>
    </row>
    <row r="31" ht="65" customHeight="1" spans="1:11" x14ac:dyDescent="0.25">
      <c r="A31" s="14" t="s">
        <v>233</v>
      </c>
      <c r="B31" s="15" t="s">
        <v>71</v>
      </c>
      <c r="C31" s="15" t="s">
        <v>175</v>
      </c>
      <c r="D31" s="15" t="s">
        <v>234</v>
      </c>
      <c r="E31" s="15" t="s">
        <v>235</v>
      </c>
      <c r="F31" s="14" t="s">
        <v>65</v>
      </c>
      <c r="G31" s="14" t="s">
        <v>92</v>
      </c>
      <c r="H31" s="14" t="s">
        <v>93</v>
      </c>
      <c r="I31" s="14" t="s">
        <v>236</v>
      </c>
      <c r="J31" s="15" t="s">
        <v>237</v>
      </c>
      <c r="K31" s="15" t="s">
        <v>238</v>
      </c>
    </row>
    <row r="32" ht="35" customHeight="1" spans="1:11" x14ac:dyDescent="0.25">
      <c r="A32" s="16" t="s">
        <v>239</v>
      </c>
      <c r="B32" s="17" t="s">
        <v>71</v>
      </c>
      <c r="C32" s="17" t="s">
        <v>240</v>
      </c>
      <c r="D32" s="17" t="s">
        <v>241</v>
      </c>
      <c r="E32" s="17" t="s">
        <v>242</v>
      </c>
      <c r="F32" s="16" t="s">
        <v>65</v>
      </c>
      <c r="G32" s="16" t="s">
        <v>92</v>
      </c>
      <c r="H32" s="16" t="s">
        <v>93</v>
      </c>
      <c r="I32" s="16" t="s">
        <v>243</v>
      </c>
      <c r="J32" s="17" t="s">
        <v>244</v>
      </c>
      <c r="K32" s="17" t="s">
        <v>245</v>
      </c>
    </row>
    <row r="33" ht="35" customHeight="1" spans="1:11" x14ac:dyDescent="0.25">
      <c r="A33" s="14" t="s">
        <v>246</v>
      </c>
      <c r="B33" s="15" t="s">
        <v>71</v>
      </c>
      <c r="C33" s="15" t="s">
        <v>240</v>
      </c>
      <c r="D33" s="15" t="s">
        <v>247</v>
      </c>
      <c r="E33" s="15" t="s">
        <v>248</v>
      </c>
      <c r="F33" s="14" t="s">
        <v>65</v>
      </c>
      <c r="G33" s="14" t="s">
        <v>171</v>
      </c>
      <c r="H33" s="14" t="s">
        <v>172</v>
      </c>
      <c r="I33" s="14" t="s">
        <v>249</v>
      </c>
      <c r="J33" s="15" t="s">
        <v>244</v>
      </c>
      <c r="K33" s="15" t="s">
        <v>250</v>
      </c>
    </row>
    <row r="34" ht="50" customHeight="1" spans="1:11" x14ac:dyDescent="0.25">
      <c r="A34" s="16" t="s">
        <v>251</v>
      </c>
      <c r="B34" s="17" t="s">
        <v>71</v>
      </c>
      <c r="C34" s="17" t="s">
        <v>122</v>
      </c>
      <c r="D34" s="17" t="s">
        <v>252</v>
      </c>
      <c r="E34" s="17" t="s">
        <v>253</v>
      </c>
      <c r="F34" s="16" t="s">
        <v>65</v>
      </c>
      <c r="G34" s="16" t="s">
        <v>125</v>
      </c>
      <c r="H34" s="16" t="s">
        <v>93</v>
      </c>
      <c r="I34" s="16" t="s">
        <v>254</v>
      </c>
      <c r="J34" s="17" t="s">
        <v>255</v>
      </c>
      <c r="K34" s="17" t="s">
        <v>256</v>
      </c>
    </row>
    <row r="35" ht="80" customHeight="1" spans="1:11" x14ac:dyDescent="0.25">
      <c r="A35" s="14" t="s">
        <v>257</v>
      </c>
      <c r="B35" s="15" t="s">
        <v>71</v>
      </c>
      <c r="C35" s="15" t="s">
        <v>175</v>
      </c>
      <c r="D35" s="15" t="s">
        <v>258</v>
      </c>
      <c r="E35" s="15" t="s">
        <v>259</v>
      </c>
      <c r="F35" s="14" t="s">
        <v>65</v>
      </c>
      <c r="G35" s="14" t="s">
        <v>92</v>
      </c>
      <c r="H35" s="14" t="s">
        <v>93</v>
      </c>
      <c r="I35" s="14" t="s">
        <v>260</v>
      </c>
      <c r="J35" s="15" t="s">
        <v>237</v>
      </c>
      <c r="K35" s="15" t="s">
        <v>261</v>
      </c>
    </row>
    <row r="36" ht="50" customHeight="1" spans="1:11" x14ac:dyDescent="0.25">
      <c r="A36" s="16" t="s">
        <v>262</v>
      </c>
      <c r="B36" s="17" t="s">
        <v>72</v>
      </c>
      <c r="C36" s="17" t="s">
        <v>263</v>
      </c>
      <c r="D36" s="17" t="s">
        <v>264</v>
      </c>
      <c r="E36" s="17" t="s">
        <v>265</v>
      </c>
      <c r="F36" s="16" t="s">
        <v>65</v>
      </c>
      <c r="G36" s="16" t="s">
        <v>92</v>
      </c>
      <c r="H36" s="16" t="s">
        <v>93</v>
      </c>
      <c r="I36" s="16" t="s">
        <v>266</v>
      </c>
      <c r="J36" s="17" t="s">
        <v>267</v>
      </c>
      <c r="K36" s="17" t="s">
        <v>268</v>
      </c>
    </row>
    <row r="37" ht="35" customHeight="1" spans="1:11" x14ac:dyDescent="0.25">
      <c r="A37" s="14" t="s">
        <v>269</v>
      </c>
      <c r="B37" s="15" t="s">
        <v>72</v>
      </c>
      <c r="C37" s="15" t="s">
        <v>263</v>
      </c>
      <c r="D37" s="15" t="s">
        <v>270</v>
      </c>
      <c r="E37" s="15" t="s">
        <v>271</v>
      </c>
      <c r="F37" s="14" t="s">
        <v>66</v>
      </c>
      <c r="G37" s="14" t="s">
        <v>171</v>
      </c>
      <c r="H37" s="14" t="s">
        <v>172</v>
      </c>
      <c r="I37" s="14" t="s">
        <v>266</v>
      </c>
      <c r="J37" s="15" t="s">
        <v>267</v>
      </c>
      <c r="K37" s="15" t="s">
        <v>96</v>
      </c>
    </row>
    <row r="38" ht="35" customHeight="1" spans="1:11" x14ac:dyDescent="0.25">
      <c r="A38" s="16" t="s">
        <v>272</v>
      </c>
      <c r="B38" s="17" t="s">
        <v>72</v>
      </c>
      <c r="C38" s="17" t="s">
        <v>273</v>
      </c>
      <c r="D38" s="17" t="s">
        <v>274</v>
      </c>
      <c r="E38" s="17" t="s">
        <v>275</v>
      </c>
      <c r="F38" s="16" t="s">
        <v>65</v>
      </c>
      <c r="G38" s="16" t="s">
        <v>92</v>
      </c>
      <c r="H38" s="16" t="s">
        <v>93</v>
      </c>
      <c r="I38" s="16" t="s">
        <v>276</v>
      </c>
      <c r="J38" s="17" t="s">
        <v>190</v>
      </c>
      <c r="K38" s="17" t="s">
        <v>96</v>
      </c>
    </row>
    <row r="39" ht="35" customHeight="1" spans="1:11" x14ac:dyDescent="0.25">
      <c r="A39" s="14" t="s">
        <v>277</v>
      </c>
      <c r="B39" s="15" t="s">
        <v>72</v>
      </c>
      <c r="C39" s="15" t="s">
        <v>273</v>
      </c>
      <c r="D39" s="15" t="s">
        <v>278</v>
      </c>
      <c r="E39" s="15" t="s">
        <v>279</v>
      </c>
      <c r="F39" s="14" t="s">
        <v>66</v>
      </c>
      <c r="G39" s="14" t="s">
        <v>171</v>
      </c>
      <c r="H39" s="14" t="s">
        <v>172</v>
      </c>
      <c r="I39" s="14" t="s">
        <v>230</v>
      </c>
      <c r="J39" s="15" t="s">
        <v>185</v>
      </c>
      <c r="K39" s="15" t="s">
        <v>96</v>
      </c>
    </row>
    <row r="40" ht="35" customHeight="1" spans="1:11" x14ac:dyDescent="0.25">
      <c r="A40" s="16" t="s">
        <v>280</v>
      </c>
      <c r="B40" s="17" t="s">
        <v>73</v>
      </c>
      <c r="C40" s="17" t="s">
        <v>281</v>
      </c>
      <c r="D40" s="17" t="s">
        <v>282</v>
      </c>
      <c r="E40" s="17" t="s">
        <v>283</v>
      </c>
      <c r="F40" s="16" t="s">
        <v>65</v>
      </c>
      <c r="G40" s="16" t="s">
        <v>92</v>
      </c>
      <c r="H40" s="16" t="s">
        <v>93</v>
      </c>
      <c r="I40" s="16" t="s">
        <v>284</v>
      </c>
      <c r="J40" s="17" t="s">
        <v>285</v>
      </c>
      <c r="K40" s="17" t="s">
        <v>286</v>
      </c>
    </row>
    <row r="41" ht="35" customHeight="1" spans="1:11" x14ac:dyDescent="0.25">
      <c r="A41" s="14" t="s">
        <v>287</v>
      </c>
      <c r="B41" s="15" t="s">
        <v>73</v>
      </c>
      <c r="C41" s="15" t="s">
        <v>281</v>
      </c>
      <c r="D41" s="15" t="s">
        <v>288</v>
      </c>
      <c r="E41" s="15" t="s">
        <v>289</v>
      </c>
      <c r="F41" s="14" t="s">
        <v>65</v>
      </c>
      <c r="G41" s="14" t="s">
        <v>171</v>
      </c>
      <c r="H41" s="14" t="s">
        <v>172</v>
      </c>
      <c r="I41" s="14" t="s">
        <v>284</v>
      </c>
      <c r="J41" s="15" t="s">
        <v>285</v>
      </c>
      <c r="K41" s="15" t="s">
        <v>290</v>
      </c>
    </row>
    <row r="42" ht="35" customHeight="1" spans="1:11" x14ac:dyDescent="0.25">
      <c r="A42" s="16" t="s">
        <v>291</v>
      </c>
      <c r="B42" s="17" t="s">
        <v>73</v>
      </c>
      <c r="C42" s="17" t="s">
        <v>202</v>
      </c>
      <c r="D42" s="17" t="s">
        <v>292</v>
      </c>
      <c r="E42" s="17" t="s">
        <v>293</v>
      </c>
      <c r="F42" s="16" t="s">
        <v>65</v>
      </c>
      <c r="G42" s="16" t="s">
        <v>92</v>
      </c>
      <c r="H42" s="16" t="s">
        <v>93</v>
      </c>
      <c r="I42" s="16" t="s">
        <v>205</v>
      </c>
      <c r="J42" s="17" t="s">
        <v>294</v>
      </c>
      <c r="K42" s="17" t="s">
        <v>96</v>
      </c>
    </row>
    <row r="43" ht="35" customHeight="1" spans="1:11" x14ac:dyDescent="0.25">
      <c r="A43" s="14" t="s">
        <v>295</v>
      </c>
      <c r="B43" s="15" t="s">
        <v>73</v>
      </c>
      <c r="C43" s="15" t="s">
        <v>296</v>
      </c>
      <c r="D43" s="15" t="s">
        <v>297</v>
      </c>
      <c r="E43" s="15" t="s">
        <v>298</v>
      </c>
      <c r="F43" s="14" t="s">
        <v>65</v>
      </c>
      <c r="G43" s="14" t="s">
        <v>171</v>
      </c>
      <c r="H43" s="14" t="s">
        <v>172</v>
      </c>
      <c r="I43" s="14" t="s">
        <v>299</v>
      </c>
      <c r="J43" s="15" t="s">
        <v>300</v>
      </c>
      <c r="K43" s="15" t="s">
        <v>96</v>
      </c>
    </row>
    <row r="44" ht="35" customHeight="1" spans="1:11" x14ac:dyDescent="0.25">
      <c r="A44" s="16" t="s">
        <v>301</v>
      </c>
      <c r="B44" s="17" t="s">
        <v>73</v>
      </c>
      <c r="C44" s="17" t="s">
        <v>302</v>
      </c>
      <c r="D44" s="17" t="s">
        <v>303</v>
      </c>
      <c r="E44" s="17" t="s">
        <v>304</v>
      </c>
      <c r="F44" s="16" t="s">
        <v>65</v>
      </c>
      <c r="G44" s="16" t="s">
        <v>125</v>
      </c>
      <c r="H44" s="16" t="s">
        <v>93</v>
      </c>
      <c r="I44" s="16" t="s">
        <v>305</v>
      </c>
      <c r="J44" s="17" t="s">
        <v>306</v>
      </c>
      <c r="K44" s="17" t="s">
        <v>307</v>
      </c>
    </row>
    <row r="45" ht="35" customHeight="1" spans="1:11" x14ac:dyDescent="0.25">
      <c r="A45" s="14" t="s">
        <v>308</v>
      </c>
      <c r="B45" s="15" t="s">
        <v>73</v>
      </c>
      <c r="C45" s="15" t="s">
        <v>302</v>
      </c>
      <c r="D45" s="15" t="s">
        <v>309</v>
      </c>
      <c r="E45" s="15" t="s">
        <v>310</v>
      </c>
      <c r="F45" s="14" t="s">
        <v>65</v>
      </c>
      <c r="G45" s="14" t="s">
        <v>125</v>
      </c>
      <c r="H45" s="14" t="s">
        <v>93</v>
      </c>
      <c r="I45" s="14" t="s">
        <v>305</v>
      </c>
      <c r="J45" s="15" t="s">
        <v>306</v>
      </c>
      <c r="K45" s="15" t="s">
        <v>311</v>
      </c>
    </row>
    <row r="46" ht="35" customHeight="1" spans="1:11" x14ac:dyDescent="0.25">
      <c r="A46" s="16" t="s">
        <v>312</v>
      </c>
      <c r="B46" s="17" t="s">
        <v>73</v>
      </c>
      <c r="C46" s="17" t="s">
        <v>313</v>
      </c>
      <c r="D46" s="17" t="s">
        <v>314</v>
      </c>
      <c r="E46" s="17" t="s">
        <v>315</v>
      </c>
      <c r="F46" s="16" t="s">
        <v>65</v>
      </c>
      <c r="G46" s="16" t="s">
        <v>92</v>
      </c>
      <c r="H46" s="16" t="s">
        <v>93</v>
      </c>
      <c r="I46" s="16" t="s">
        <v>316</v>
      </c>
      <c r="J46" s="17" t="s">
        <v>317</v>
      </c>
      <c r="K46" s="17" t="s">
        <v>96</v>
      </c>
    </row>
    <row r="47" ht="50" customHeight="1" spans="1:11" x14ac:dyDescent="0.25">
      <c r="A47" s="14" t="s">
        <v>318</v>
      </c>
      <c r="B47" s="15" t="s">
        <v>73</v>
      </c>
      <c r="C47" s="15" t="s">
        <v>313</v>
      </c>
      <c r="D47" s="15" t="s">
        <v>319</v>
      </c>
      <c r="E47" s="15" t="s">
        <v>320</v>
      </c>
      <c r="F47" s="14" t="s">
        <v>67</v>
      </c>
      <c r="G47" s="14" t="s">
        <v>92</v>
      </c>
      <c r="H47" s="14" t="s">
        <v>321</v>
      </c>
      <c r="I47" s="14" t="s">
        <v>185</v>
      </c>
      <c r="J47" s="15" t="s">
        <v>185</v>
      </c>
      <c r="K47" s="15" t="s">
        <v>322</v>
      </c>
    </row>
    <row r="48" ht="50" customHeight="1" spans="1:11" x14ac:dyDescent="0.25">
      <c r="A48" s="16" t="s">
        <v>323</v>
      </c>
      <c r="B48" s="17" t="s">
        <v>73</v>
      </c>
      <c r="C48" s="17" t="s">
        <v>313</v>
      </c>
      <c r="D48" s="17" t="s">
        <v>324</v>
      </c>
      <c r="E48" s="17" t="s">
        <v>325</v>
      </c>
      <c r="F48" s="16" t="s">
        <v>67</v>
      </c>
      <c r="G48" s="16" t="s">
        <v>92</v>
      </c>
      <c r="H48" s="16" t="s">
        <v>321</v>
      </c>
      <c r="I48" s="16" t="s">
        <v>185</v>
      </c>
      <c r="J48" s="17" t="s">
        <v>185</v>
      </c>
      <c r="K48" s="17" t="s">
        <v>326</v>
      </c>
    </row>
    <row r="49" ht="35" customHeight="1" spans="1:11" x14ac:dyDescent="0.25">
      <c r="A49" s="14" t="s">
        <v>327</v>
      </c>
      <c r="B49" s="15" t="s">
        <v>73</v>
      </c>
      <c r="C49" s="15" t="s">
        <v>328</v>
      </c>
      <c r="D49" s="15" t="s">
        <v>329</v>
      </c>
      <c r="E49" s="15" t="s">
        <v>330</v>
      </c>
      <c r="F49" s="14" t="s">
        <v>66</v>
      </c>
      <c r="G49" s="14" t="s">
        <v>171</v>
      </c>
      <c r="H49" s="14" t="s">
        <v>172</v>
      </c>
      <c r="I49" s="14" t="s">
        <v>331</v>
      </c>
      <c r="J49" s="15" t="s">
        <v>332</v>
      </c>
      <c r="K49" s="15" t="s">
        <v>96</v>
      </c>
    </row>
    <row r="50" ht="50" customHeight="1" spans="1:11" x14ac:dyDescent="0.25">
      <c r="A50" s="16" t="s">
        <v>333</v>
      </c>
      <c r="B50" s="17" t="s">
        <v>73</v>
      </c>
      <c r="C50" s="17" t="s">
        <v>296</v>
      </c>
      <c r="D50" s="17" t="s">
        <v>334</v>
      </c>
      <c r="E50" s="17" t="s">
        <v>335</v>
      </c>
      <c r="F50" s="16" t="s">
        <v>65</v>
      </c>
      <c r="G50" s="16" t="s">
        <v>125</v>
      </c>
      <c r="H50" s="16" t="s">
        <v>93</v>
      </c>
      <c r="I50" s="16" t="s">
        <v>299</v>
      </c>
      <c r="J50" s="17" t="s">
        <v>300</v>
      </c>
      <c r="K50" s="17" t="s">
        <v>336</v>
      </c>
    </row>
    <row r="51" ht="110" customHeight="1" spans="1:11" x14ac:dyDescent="0.25">
      <c r="A51" s="14" t="s">
        <v>337</v>
      </c>
      <c r="B51" s="15" t="s">
        <v>73</v>
      </c>
      <c r="C51" s="15" t="s">
        <v>21</v>
      </c>
      <c r="D51" s="15" t="s">
        <v>338</v>
      </c>
      <c r="E51" s="15" t="s">
        <v>339</v>
      </c>
      <c r="F51" s="14" t="s">
        <v>65</v>
      </c>
      <c r="G51" s="14" t="s">
        <v>92</v>
      </c>
      <c r="H51" s="14" t="s">
        <v>93</v>
      </c>
      <c r="I51" s="14" t="s">
        <v>340</v>
      </c>
      <c r="J51" s="15" t="s">
        <v>341</v>
      </c>
      <c r="K51" s="15" t="s">
        <v>342</v>
      </c>
    </row>
    <row r="52" ht="50" customHeight="1" spans="1:11" x14ac:dyDescent="0.25">
      <c r="A52" s="16" t="s">
        <v>343</v>
      </c>
      <c r="B52" s="17" t="s">
        <v>73</v>
      </c>
      <c r="C52" s="17" t="s">
        <v>175</v>
      </c>
      <c r="D52" s="17" t="s">
        <v>344</v>
      </c>
      <c r="E52" s="17" t="s">
        <v>345</v>
      </c>
      <c r="F52" s="16" t="s">
        <v>65</v>
      </c>
      <c r="G52" s="16" t="s">
        <v>92</v>
      </c>
      <c r="H52" s="16" t="s">
        <v>93</v>
      </c>
      <c r="I52" s="16" t="s">
        <v>346</v>
      </c>
      <c r="J52" s="17" t="s">
        <v>347</v>
      </c>
      <c r="K52" s="17" t="s">
        <v>167</v>
      </c>
    </row>
    <row r="53" ht="80" customHeight="1" spans="1:11" x14ac:dyDescent="0.25">
      <c r="A53" s="14" t="s">
        <v>348</v>
      </c>
      <c r="B53" s="15" t="s">
        <v>73</v>
      </c>
      <c r="C53" s="15" t="s">
        <v>349</v>
      </c>
      <c r="D53" s="15" t="s">
        <v>350</v>
      </c>
      <c r="E53" s="15" t="s">
        <v>351</v>
      </c>
      <c r="F53" s="14" t="s">
        <v>65</v>
      </c>
      <c r="G53" s="14" t="s">
        <v>92</v>
      </c>
      <c r="H53" s="14" t="s">
        <v>93</v>
      </c>
      <c r="I53" s="14" t="s">
        <v>352</v>
      </c>
      <c r="J53" s="15" t="s">
        <v>353</v>
      </c>
      <c r="K53" s="15" t="s">
        <v>167</v>
      </c>
    </row>
    <row r="54" ht="95" customHeight="1" spans="1:11" x14ac:dyDescent="0.25">
      <c r="A54" s="16" t="s">
        <v>354</v>
      </c>
      <c r="B54" s="17" t="s">
        <v>73</v>
      </c>
      <c r="C54" s="17" t="s">
        <v>355</v>
      </c>
      <c r="D54" s="17" t="s">
        <v>356</v>
      </c>
      <c r="E54" s="17" t="s">
        <v>357</v>
      </c>
      <c r="F54" s="16" t="s">
        <v>65</v>
      </c>
      <c r="G54" s="16" t="s">
        <v>92</v>
      </c>
      <c r="H54" s="16" t="s">
        <v>93</v>
      </c>
      <c r="I54" s="16" t="s">
        <v>358</v>
      </c>
      <c r="J54" s="17" t="s">
        <v>359</v>
      </c>
      <c r="K54" s="17" t="s">
        <v>360</v>
      </c>
    </row>
    <row r="55" ht="80" customHeight="1" spans="1:11" x14ac:dyDescent="0.25">
      <c r="A55" s="14" t="s">
        <v>361</v>
      </c>
      <c r="B55" s="15" t="s">
        <v>73</v>
      </c>
      <c r="C55" s="15" t="s">
        <v>362</v>
      </c>
      <c r="D55" s="15" t="s">
        <v>363</v>
      </c>
      <c r="E55" s="15" t="s">
        <v>364</v>
      </c>
      <c r="F55" s="14" t="s">
        <v>65</v>
      </c>
      <c r="G55" s="14" t="s">
        <v>92</v>
      </c>
      <c r="H55" s="14" t="s">
        <v>93</v>
      </c>
      <c r="I55" s="14" t="s">
        <v>365</v>
      </c>
      <c r="J55" s="15" t="s">
        <v>366</v>
      </c>
      <c r="K55" s="15" t="s">
        <v>367</v>
      </c>
    </row>
    <row r="56" ht="35" customHeight="1" spans="1:11" x14ac:dyDescent="0.25">
      <c r="A56" s="16" t="s">
        <v>368</v>
      </c>
      <c r="B56" s="17" t="s">
        <v>73</v>
      </c>
      <c r="C56" s="17" t="s">
        <v>362</v>
      </c>
      <c r="D56" s="17" t="s">
        <v>369</v>
      </c>
      <c r="E56" s="17" t="s">
        <v>370</v>
      </c>
      <c r="F56" s="16" t="s">
        <v>65</v>
      </c>
      <c r="G56" s="16" t="s">
        <v>92</v>
      </c>
      <c r="H56" s="16" t="s">
        <v>93</v>
      </c>
      <c r="I56" s="16" t="s">
        <v>365</v>
      </c>
      <c r="J56" s="17" t="s">
        <v>371</v>
      </c>
      <c r="K56" s="17" t="s">
        <v>372</v>
      </c>
    </row>
    <row r="57" ht="20" customHeight="1" spans="1:11" x14ac:dyDescent="0.25">
      <c r="A57" s="14" t="s">
        <v>373</v>
      </c>
      <c r="B57" s="15" t="s">
        <v>74</v>
      </c>
      <c r="C57" s="15" t="s">
        <v>374</v>
      </c>
      <c r="D57" s="15" t="s">
        <v>375</v>
      </c>
      <c r="E57" s="15" t="s">
        <v>376</v>
      </c>
      <c r="F57" s="14" t="s">
        <v>65</v>
      </c>
      <c r="G57" s="14" t="s">
        <v>125</v>
      </c>
      <c r="H57" s="14" t="s">
        <v>93</v>
      </c>
      <c r="I57" s="14" t="s">
        <v>377</v>
      </c>
      <c r="J57" s="15" t="s">
        <v>185</v>
      </c>
      <c r="K57" s="15" t="s">
        <v>378</v>
      </c>
    </row>
    <row r="58" ht="35" customHeight="1" spans="1:11" x14ac:dyDescent="0.25">
      <c r="A58" s="16" t="s">
        <v>379</v>
      </c>
      <c r="B58" s="17" t="s">
        <v>74</v>
      </c>
      <c r="C58" s="17" t="s">
        <v>374</v>
      </c>
      <c r="D58" s="17" t="s">
        <v>380</v>
      </c>
      <c r="E58" s="17" t="s">
        <v>381</v>
      </c>
      <c r="F58" s="16" t="s">
        <v>65</v>
      </c>
      <c r="G58" s="16" t="s">
        <v>92</v>
      </c>
      <c r="H58" s="16" t="s">
        <v>93</v>
      </c>
      <c r="I58" s="16" t="s">
        <v>382</v>
      </c>
      <c r="J58" s="17" t="s">
        <v>185</v>
      </c>
      <c r="K58" s="17" t="s">
        <v>96</v>
      </c>
    </row>
    <row r="59" ht="50" customHeight="1" spans="1:11" x14ac:dyDescent="0.25">
      <c r="A59" s="14" t="s">
        <v>383</v>
      </c>
      <c r="B59" s="15" t="s">
        <v>74</v>
      </c>
      <c r="C59" s="15" t="s">
        <v>374</v>
      </c>
      <c r="D59" s="15" t="s">
        <v>384</v>
      </c>
      <c r="E59" s="15" t="s">
        <v>385</v>
      </c>
      <c r="F59" s="14" t="s">
        <v>65</v>
      </c>
      <c r="G59" s="14" t="s">
        <v>171</v>
      </c>
      <c r="H59" s="14" t="s">
        <v>172</v>
      </c>
      <c r="I59" s="14" t="s">
        <v>331</v>
      </c>
      <c r="J59" s="15" t="s">
        <v>185</v>
      </c>
      <c r="K59" s="15" t="s">
        <v>96</v>
      </c>
    </row>
    <row r="60" ht="65" customHeight="1" spans="1:11" x14ac:dyDescent="0.25">
      <c r="A60" s="16" t="s">
        <v>386</v>
      </c>
      <c r="B60" s="17" t="s">
        <v>74</v>
      </c>
      <c r="C60" s="17" t="s">
        <v>374</v>
      </c>
      <c r="D60" s="17" t="s">
        <v>387</v>
      </c>
      <c r="E60" s="17" t="s">
        <v>388</v>
      </c>
      <c r="F60" s="16" t="s">
        <v>66</v>
      </c>
      <c r="G60" s="16" t="s">
        <v>125</v>
      </c>
      <c r="H60" s="16" t="s">
        <v>93</v>
      </c>
      <c r="I60" s="16" t="s">
        <v>389</v>
      </c>
      <c r="J60" s="17" t="s">
        <v>185</v>
      </c>
      <c r="K60" s="17" t="s">
        <v>390</v>
      </c>
    </row>
    <row r="61" ht="35" customHeight="1" spans="1:11" x14ac:dyDescent="0.25">
      <c r="A61" s="14" t="s">
        <v>391</v>
      </c>
      <c r="B61" s="15" t="s">
        <v>74</v>
      </c>
      <c r="C61" s="15" t="s">
        <v>374</v>
      </c>
      <c r="D61" s="15" t="s">
        <v>392</v>
      </c>
      <c r="E61" s="15" t="s">
        <v>393</v>
      </c>
      <c r="F61" s="14" t="s">
        <v>65</v>
      </c>
      <c r="G61" s="14" t="s">
        <v>125</v>
      </c>
      <c r="H61" s="14" t="s">
        <v>93</v>
      </c>
      <c r="I61" s="14" t="s">
        <v>185</v>
      </c>
      <c r="J61" s="15" t="s">
        <v>185</v>
      </c>
      <c r="K61" s="15" t="s">
        <v>394</v>
      </c>
    </row>
    <row r="62" ht="65" customHeight="1" spans="1:11" x14ac:dyDescent="0.25">
      <c r="A62" s="16" t="s">
        <v>395</v>
      </c>
      <c r="B62" s="17" t="s">
        <v>74</v>
      </c>
      <c r="C62" s="17" t="s">
        <v>374</v>
      </c>
      <c r="D62" s="17" t="s">
        <v>396</v>
      </c>
      <c r="E62" s="17" t="s">
        <v>397</v>
      </c>
      <c r="F62" s="16" t="s">
        <v>65</v>
      </c>
      <c r="G62" s="16" t="s">
        <v>125</v>
      </c>
      <c r="H62" s="16" t="s">
        <v>93</v>
      </c>
      <c r="I62" s="16" t="s">
        <v>398</v>
      </c>
      <c r="J62" s="17" t="s">
        <v>185</v>
      </c>
      <c r="K62" s="17" t="s">
        <v>399</v>
      </c>
    </row>
    <row r="63" ht="95" customHeight="1" spans="1:11" x14ac:dyDescent="0.25">
      <c r="A63" s="14" t="s">
        <v>400</v>
      </c>
      <c r="B63" s="15" t="s">
        <v>74</v>
      </c>
      <c r="C63" s="15" t="s">
        <v>374</v>
      </c>
      <c r="D63" s="15" t="s">
        <v>401</v>
      </c>
      <c r="E63" s="15" t="s">
        <v>402</v>
      </c>
      <c r="F63" s="14" t="s">
        <v>65</v>
      </c>
      <c r="G63" s="14" t="s">
        <v>92</v>
      </c>
      <c r="H63" s="14" t="s">
        <v>93</v>
      </c>
      <c r="I63" s="14" t="s">
        <v>403</v>
      </c>
      <c r="J63" s="15" t="s">
        <v>185</v>
      </c>
      <c r="K63" s="15" t="s">
        <v>404</v>
      </c>
    </row>
    <row r="64" ht="125" customHeight="1" spans="1:11" x14ac:dyDescent="0.25">
      <c r="A64" s="16" t="s">
        <v>405</v>
      </c>
      <c r="B64" s="17" t="s">
        <v>74</v>
      </c>
      <c r="C64" s="17" t="s">
        <v>374</v>
      </c>
      <c r="D64" s="17" t="s">
        <v>406</v>
      </c>
      <c r="E64" s="17" t="s">
        <v>407</v>
      </c>
      <c r="F64" s="16" t="s">
        <v>65</v>
      </c>
      <c r="G64" s="16" t="s">
        <v>92</v>
      </c>
      <c r="H64" s="16" t="s">
        <v>93</v>
      </c>
      <c r="I64" s="16" t="s">
        <v>408</v>
      </c>
      <c r="J64" s="17" t="s">
        <v>409</v>
      </c>
      <c r="K64" s="17" t="s">
        <v>410</v>
      </c>
    </row>
  </sheetData>
  <autoFilter ref="A4:K64"/>
  <conditionalFormatting sqref="H5:H200">
    <cfRule type="cellIs" dxfId="0" priority="1" operator="equal">
      <formula>"미확정"</formula>
    </cfRule>
    <cfRule type="cellIs" dxfId="1" priority="2" operator="equal">
      <formula>"검토 필요"</formula>
    </cfRule>
    <cfRule type="cellIs" dxfId="2" priority="3" operator="equal">
      <formula>"확정"</formula>
    </cfRule>
    <cfRule type="cellIs" dxfId="3" priority="4" operator="equal">
      <formula>"제외"</formula>
    </cfRule>
  </conditionalFormatting>
  <dataValidations count="3">
    <dataValidation type="list" allowBlank="1" sqref="F5:F200">
      <formula1>"필수,권장,선택"</formula1>
    </dataValidation>
    <dataValidation type="list" allowBlank="1" sqref="G5:G200">
      <formula1>"사용자 요구,결정 사항,추천"</formula1>
    </dataValidation>
    <dataValidation type="list" allowBlank="1" sqref="H5:H200">
      <formula1>"확정,검토 필요,미확정,제외"</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workbookViewId="0" showGridLines="0">
      <pane xSplit="1" ySplit="4" topLeftCell="B5" activePane="bottomRight" state="frozen"/>
      <selection pane="bottomRight"/>
    </sheetView>
  </sheetViews>
  <sheetFormatPr defaultRowHeight="15" outlineLevelRow="0" outlineLevelCol="0" x14ac:dyDescent="55"/>
  <cols>
    <col min="1" max="1" width="12" customWidth="1"/>
    <col min="2" max="2" width="10" customWidth="1"/>
    <col min="3" max="3" width="22" customWidth="1"/>
    <col min="4" max="4" width="64" customWidth="1"/>
    <col min="6" max="6" width="11" customWidth="1"/>
    <col min="7" max="7" width="10" customWidth="1"/>
    <col min="8" max="8" width="18" customWidth="1"/>
  </cols>
  <sheetData>
    <row r="1" ht="30" customHeight="1" spans="1:1" x14ac:dyDescent="0.25">
      <c r="A1" s="1" t="s">
        <v>44</v>
      </c>
    </row>
    <row r="2" spans="1:1" x14ac:dyDescent="0.25">
      <c r="A2" s="2" t="s">
        <v>411</v>
      </c>
    </row>
    <row r="4" ht="24" customHeight="1" spans="1:8" x14ac:dyDescent="0.25">
      <c r="A4" s="7" t="s">
        <v>81</v>
      </c>
      <c r="B4" s="7" t="s">
        <v>412</v>
      </c>
      <c r="C4" s="7" t="s">
        <v>413</v>
      </c>
      <c r="D4" s="7" t="s">
        <v>84</v>
      </c>
      <c r="E4" s="7" t="s">
        <v>55</v>
      </c>
      <c r="F4" s="7" t="s">
        <v>57</v>
      </c>
      <c r="G4" s="7" t="s">
        <v>59</v>
      </c>
      <c r="H4" s="7" t="s">
        <v>87</v>
      </c>
    </row>
    <row r="5" ht="50" customHeight="1" spans="1:8" x14ac:dyDescent="0.25">
      <c r="A5" s="14" t="s">
        <v>414</v>
      </c>
      <c r="B5" s="14" t="s">
        <v>415</v>
      </c>
      <c r="C5" s="15" t="s">
        <v>416</v>
      </c>
      <c r="D5" s="15" t="s">
        <v>417</v>
      </c>
      <c r="E5" s="14" t="s">
        <v>65</v>
      </c>
      <c r="F5" s="14" t="s">
        <v>125</v>
      </c>
      <c r="G5" s="14" t="s">
        <v>93</v>
      </c>
      <c r="H5" s="15" t="s">
        <v>418</v>
      </c>
    </row>
    <row r="6" ht="35" customHeight="1" spans="1:8" x14ac:dyDescent="0.25">
      <c r="A6" s="16" t="s">
        <v>419</v>
      </c>
      <c r="B6" s="16" t="s">
        <v>415</v>
      </c>
      <c r="C6" s="17" t="s">
        <v>420</v>
      </c>
      <c r="D6" s="17" t="s">
        <v>421</v>
      </c>
      <c r="E6" s="16" t="s">
        <v>65</v>
      </c>
      <c r="F6" s="16" t="s">
        <v>125</v>
      </c>
      <c r="G6" s="16" t="s">
        <v>93</v>
      </c>
      <c r="H6" s="17" t="s">
        <v>422</v>
      </c>
    </row>
    <row r="7" ht="50" customHeight="1" spans="1:8" x14ac:dyDescent="0.25">
      <c r="A7" s="14" t="s">
        <v>423</v>
      </c>
      <c r="B7" s="14" t="s">
        <v>415</v>
      </c>
      <c r="C7" s="15" t="s">
        <v>424</v>
      </c>
      <c r="D7" s="15" t="s">
        <v>425</v>
      </c>
      <c r="E7" s="14" t="s">
        <v>65</v>
      </c>
      <c r="F7" s="14" t="s">
        <v>125</v>
      </c>
      <c r="G7" s="14" t="s">
        <v>93</v>
      </c>
      <c r="H7" s="15" t="s">
        <v>96</v>
      </c>
    </row>
    <row r="8" ht="50" customHeight="1" spans="1:8" x14ac:dyDescent="0.25">
      <c r="A8" s="16" t="s">
        <v>426</v>
      </c>
      <c r="B8" s="16" t="s">
        <v>415</v>
      </c>
      <c r="C8" s="17" t="s">
        <v>427</v>
      </c>
      <c r="D8" s="17" t="s">
        <v>428</v>
      </c>
      <c r="E8" s="16" t="s">
        <v>65</v>
      </c>
      <c r="F8" s="16" t="s">
        <v>171</v>
      </c>
      <c r="G8" s="16" t="s">
        <v>172</v>
      </c>
      <c r="H8" s="17" t="s">
        <v>429</v>
      </c>
    </row>
    <row r="9" ht="35" customHeight="1" spans="1:8" x14ac:dyDescent="0.25">
      <c r="A9" s="14" t="s">
        <v>430</v>
      </c>
      <c r="B9" s="14" t="s">
        <v>415</v>
      </c>
      <c r="C9" s="15" t="s">
        <v>431</v>
      </c>
      <c r="D9" s="15" t="s">
        <v>432</v>
      </c>
      <c r="E9" s="14" t="s">
        <v>65</v>
      </c>
      <c r="F9" s="14" t="s">
        <v>171</v>
      </c>
      <c r="G9" s="14" t="s">
        <v>172</v>
      </c>
      <c r="H9" s="15" t="s">
        <v>96</v>
      </c>
    </row>
    <row r="10" ht="35" customHeight="1" spans="1:8" x14ac:dyDescent="0.25">
      <c r="A10" s="16" t="s">
        <v>433</v>
      </c>
      <c r="B10" s="16" t="s">
        <v>415</v>
      </c>
      <c r="C10" s="17" t="s">
        <v>434</v>
      </c>
      <c r="D10" s="17" t="s">
        <v>435</v>
      </c>
      <c r="E10" s="16" t="s">
        <v>65</v>
      </c>
      <c r="F10" s="16" t="s">
        <v>171</v>
      </c>
      <c r="G10" s="16" t="s">
        <v>172</v>
      </c>
      <c r="H10" s="17" t="s">
        <v>96</v>
      </c>
    </row>
    <row r="11" ht="35" customHeight="1" spans="1:8" x14ac:dyDescent="0.25">
      <c r="A11" s="14" t="s">
        <v>436</v>
      </c>
      <c r="B11" s="14" t="s">
        <v>415</v>
      </c>
      <c r="C11" s="15" t="s">
        <v>437</v>
      </c>
      <c r="D11" s="15" t="s">
        <v>438</v>
      </c>
      <c r="E11" s="14" t="s">
        <v>65</v>
      </c>
      <c r="F11" s="14" t="s">
        <v>125</v>
      </c>
      <c r="G11" s="14" t="s">
        <v>93</v>
      </c>
      <c r="H11" s="15" t="s">
        <v>96</v>
      </c>
    </row>
    <row r="12" ht="50" customHeight="1" spans="1:8" x14ac:dyDescent="0.25">
      <c r="A12" s="16" t="s">
        <v>439</v>
      </c>
      <c r="B12" s="16" t="s">
        <v>415</v>
      </c>
      <c r="C12" s="17" t="s">
        <v>440</v>
      </c>
      <c r="D12" s="17" t="s">
        <v>441</v>
      </c>
      <c r="E12" s="16" t="s">
        <v>65</v>
      </c>
      <c r="F12" s="16" t="s">
        <v>171</v>
      </c>
      <c r="G12" s="16" t="s">
        <v>172</v>
      </c>
      <c r="H12" s="17" t="s">
        <v>442</v>
      </c>
    </row>
    <row r="13" ht="65" customHeight="1" spans="1:8" x14ac:dyDescent="0.25">
      <c r="A13" s="14" t="s">
        <v>443</v>
      </c>
      <c r="B13" s="14" t="s">
        <v>444</v>
      </c>
      <c r="C13" s="15" t="s">
        <v>445</v>
      </c>
      <c r="D13" s="15" t="s">
        <v>446</v>
      </c>
      <c r="E13" s="14" t="s">
        <v>65</v>
      </c>
      <c r="F13" s="14" t="s">
        <v>171</v>
      </c>
      <c r="G13" s="14" t="s">
        <v>172</v>
      </c>
      <c r="H13" s="15" t="s">
        <v>96</v>
      </c>
    </row>
    <row r="14" ht="35" customHeight="1" spans="1:8" x14ac:dyDescent="0.25">
      <c r="A14" s="16" t="s">
        <v>447</v>
      </c>
      <c r="B14" s="16" t="s">
        <v>444</v>
      </c>
      <c r="C14" s="17" t="s">
        <v>448</v>
      </c>
      <c r="D14" s="17" t="s">
        <v>449</v>
      </c>
      <c r="E14" s="16" t="s">
        <v>66</v>
      </c>
      <c r="F14" s="16" t="s">
        <v>171</v>
      </c>
      <c r="G14" s="16" t="s">
        <v>172</v>
      </c>
      <c r="H14" s="17" t="s">
        <v>96</v>
      </c>
    </row>
    <row r="15" ht="50" customHeight="1" spans="1:8" x14ac:dyDescent="0.25">
      <c r="A15" s="14" t="s">
        <v>450</v>
      </c>
      <c r="B15" s="14" t="s">
        <v>444</v>
      </c>
      <c r="C15" s="15" t="s">
        <v>451</v>
      </c>
      <c r="D15" s="15" t="s">
        <v>452</v>
      </c>
      <c r="E15" s="14" t="s">
        <v>66</v>
      </c>
      <c r="F15" s="14" t="s">
        <v>171</v>
      </c>
      <c r="G15" s="14" t="s">
        <v>172</v>
      </c>
      <c r="H15" s="15" t="s">
        <v>96</v>
      </c>
    </row>
    <row r="16" ht="35" customHeight="1" spans="1:8" x14ac:dyDescent="0.25">
      <c r="A16" s="16" t="s">
        <v>453</v>
      </c>
      <c r="B16" s="16" t="s">
        <v>444</v>
      </c>
      <c r="C16" s="17" t="s">
        <v>454</v>
      </c>
      <c r="D16" s="17" t="s">
        <v>455</v>
      </c>
      <c r="E16" s="16" t="s">
        <v>65</v>
      </c>
      <c r="F16" s="16" t="s">
        <v>125</v>
      </c>
      <c r="G16" s="16" t="s">
        <v>93</v>
      </c>
      <c r="H16" s="17" t="s">
        <v>456</v>
      </c>
    </row>
    <row r="17" ht="35" customHeight="1" spans="1:8" x14ac:dyDescent="0.25">
      <c r="A17" s="14" t="s">
        <v>457</v>
      </c>
      <c r="B17" s="14" t="s">
        <v>444</v>
      </c>
      <c r="C17" s="15" t="s">
        <v>458</v>
      </c>
      <c r="D17" s="15" t="s">
        <v>459</v>
      </c>
      <c r="E17" s="14" t="s">
        <v>65</v>
      </c>
      <c r="F17" s="14" t="s">
        <v>125</v>
      </c>
      <c r="G17" s="14" t="s">
        <v>93</v>
      </c>
      <c r="H17" s="15" t="s">
        <v>167</v>
      </c>
    </row>
    <row r="18" ht="35" customHeight="1" spans="1:8" x14ac:dyDescent="0.25">
      <c r="A18" s="16" t="s">
        <v>460</v>
      </c>
      <c r="B18" s="16" t="s">
        <v>461</v>
      </c>
      <c r="C18" s="17" t="s">
        <v>462</v>
      </c>
      <c r="D18" s="17" t="s">
        <v>463</v>
      </c>
      <c r="E18" s="16" t="s">
        <v>65</v>
      </c>
      <c r="F18" s="16" t="s">
        <v>171</v>
      </c>
      <c r="G18" s="16" t="s">
        <v>172</v>
      </c>
      <c r="H18" s="17" t="s">
        <v>464</v>
      </c>
    </row>
    <row r="19" ht="35" customHeight="1" spans="1:8" x14ac:dyDescent="0.25">
      <c r="A19" s="14" t="s">
        <v>465</v>
      </c>
      <c r="B19" s="14" t="s">
        <v>466</v>
      </c>
      <c r="C19" s="15" t="s">
        <v>467</v>
      </c>
      <c r="D19" s="15" t="s">
        <v>468</v>
      </c>
      <c r="E19" s="14" t="s">
        <v>65</v>
      </c>
      <c r="F19" s="14" t="s">
        <v>171</v>
      </c>
      <c r="G19" s="14" t="s">
        <v>172</v>
      </c>
      <c r="H19" s="15" t="s">
        <v>96</v>
      </c>
    </row>
    <row r="20" ht="35" customHeight="1" spans="1:8" x14ac:dyDescent="0.25">
      <c r="A20" s="16" t="s">
        <v>469</v>
      </c>
      <c r="B20" s="16" t="s">
        <v>466</v>
      </c>
      <c r="C20" s="17" t="s">
        <v>470</v>
      </c>
      <c r="D20" s="17" t="s">
        <v>471</v>
      </c>
      <c r="E20" s="16" t="s">
        <v>66</v>
      </c>
      <c r="F20" s="16" t="s">
        <v>171</v>
      </c>
      <c r="G20" s="16" t="s">
        <v>172</v>
      </c>
      <c r="H20" s="17" t="s">
        <v>96</v>
      </c>
    </row>
    <row r="21" ht="35" customHeight="1" spans="1:8" x14ac:dyDescent="0.25">
      <c r="A21" s="14" t="s">
        <v>472</v>
      </c>
      <c r="B21" s="14" t="s">
        <v>466</v>
      </c>
      <c r="C21" s="15" t="s">
        <v>473</v>
      </c>
      <c r="D21" s="15" t="s">
        <v>474</v>
      </c>
      <c r="E21" s="14" t="s">
        <v>66</v>
      </c>
      <c r="F21" s="14" t="s">
        <v>171</v>
      </c>
      <c r="G21" s="14" t="s">
        <v>172</v>
      </c>
      <c r="H21" s="15" t="s">
        <v>96</v>
      </c>
    </row>
    <row r="22" ht="50" customHeight="1" spans="1:8" x14ac:dyDescent="0.25">
      <c r="A22" s="16" t="s">
        <v>475</v>
      </c>
      <c r="B22" s="16" t="s">
        <v>476</v>
      </c>
      <c r="C22" s="17" t="s">
        <v>477</v>
      </c>
      <c r="D22" s="17" t="s">
        <v>478</v>
      </c>
      <c r="E22" s="16" t="s">
        <v>65</v>
      </c>
      <c r="F22" s="16" t="s">
        <v>92</v>
      </c>
      <c r="G22" s="16" t="s">
        <v>93</v>
      </c>
      <c r="H22" s="17" t="s">
        <v>167</v>
      </c>
    </row>
    <row r="23" ht="50" customHeight="1" spans="1:8" x14ac:dyDescent="0.25">
      <c r="A23" s="14" t="s">
        <v>479</v>
      </c>
      <c r="B23" s="14" t="s">
        <v>476</v>
      </c>
      <c r="C23" s="15" t="s">
        <v>480</v>
      </c>
      <c r="D23" s="15" t="s">
        <v>481</v>
      </c>
      <c r="E23" s="14" t="s">
        <v>65</v>
      </c>
      <c r="F23" s="14" t="s">
        <v>171</v>
      </c>
      <c r="G23" s="14" t="s">
        <v>172</v>
      </c>
      <c r="H23" s="15" t="s">
        <v>96</v>
      </c>
    </row>
    <row r="24" ht="35" customHeight="1" spans="1:8" x14ac:dyDescent="0.25">
      <c r="A24" s="16" t="s">
        <v>482</v>
      </c>
      <c r="B24" s="16" t="s">
        <v>483</v>
      </c>
      <c r="C24" s="17" t="s">
        <v>484</v>
      </c>
      <c r="D24" s="17" t="s">
        <v>485</v>
      </c>
      <c r="E24" s="16" t="s">
        <v>65</v>
      </c>
      <c r="F24" s="16" t="s">
        <v>125</v>
      </c>
      <c r="G24" s="16" t="s">
        <v>93</v>
      </c>
      <c r="H24" s="17" t="s">
        <v>96</v>
      </c>
    </row>
    <row r="25" ht="35" customHeight="1" spans="1:8" x14ac:dyDescent="0.25">
      <c r="A25" s="14" t="s">
        <v>486</v>
      </c>
      <c r="B25" s="14" t="s">
        <v>483</v>
      </c>
      <c r="C25" s="15" t="s">
        <v>487</v>
      </c>
      <c r="D25" s="15" t="s">
        <v>488</v>
      </c>
      <c r="E25" s="14" t="s">
        <v>66</v>
      </c>
      <c r="F25" s="14" t="s">
        <v>171</v>
      </c>
      <c r="G25" s="14" t="s">
        <v>172</v>
      </c>
      <c r="H25" s="15" t="s">
        <v>96</v>
      </c>
    </row>
    <row r="26" ht="50" customHeight="1" spans="1:8" x14ac:dyDescent="0.25">
      <c r="A26" s="16" t="s">
        <v>489</v>
      </c>
      <c r="B26" s="16" t="s">
        <v>483</v>
      </c>
      <c r="C26" s="17" t="s">
        <v>19</v>
      </c>
      <c r="D26" s="17" t="s">
        <v>490</v>
      </c>
      <c r="E26" s="16" t="s">
        <v>65</v>
      </c>
      <c r="F26" s="16" t="s">
        <v>125</v>
      </c>
      <c r="G26" s="16" t="s">
        <v>93</v>
      </c>
      <c r="H26" s="17" t="s">
        <v>167</v>
      </c>
    </row>
    <row r="27" ht="50" customHeight="1" spans="1:8" x14ac:dyDescent="0.25">
      <c r="A27" s="14" t="s">
        <v>491</v>
      </c>
      <c r="B27" s="14" t="s">
        <v>483</v>
      </c>
      <c r="C27" s="15" t="s">
        <v>492</v>
      </c>
      <c r="D27" s="15" t="s">
        <v>493</v>
      </c>
      <c r="E27" s="14" t="s">
        <v>65</v>
      </c>
      <c r="F27" s="14" t="s">
        <v>92</v>
      </c>
      <c r="G27" s="14" t="s">
        <v>93</v>
      </c>
      <c r="H27" s="15" t="s">
        <v>494</v>
      </c>
    </row>
    <row r="28" ht="95" customHeight="1" spans="1:8" x14ac:dyDescent="0.25">
      <c r="A28" s="16" t="s">
        <v>495</v>
      </c>
      <c r="B28" s="16" t="s">
        <v>483</v>
      </c>
      <c r="C28" s="17" t="s">
        <v>496</v>
      </c>
      <c r="D28" s="17" t="s">
        <v>497</v>
      </c>
      <c r="E28" s="16" t="s">
        <v>65</v>
      </c>
      <c r="F28" s="16" t="s">
        <v>92</v>
      </c>
      <c r="G28" s="16" t="s">
        <v>93</v>
      </c>
      <c r="H28" s="17" t="s">
        <v>372</v>
      </c>
    </row>
    <row r="29" ht="50" customHeight="1" spans="1:8" x14ac:dyDescent="0.25">
      <c r="A29" s="14" t="s">
        <v>498</v>
      </c>
      <c r="B29" s="14" t="s">
        <v>483</v>
      </c>
      <c r="C29" s="15" t="s">
        <v>499</v>
      </c>
      <c r="D29" s="15" t="s">
        <v>500</v>
      </c>
      <c r="E29" s="14" t="s">
        <v>65</v>
      </c>
      <c r="F29" s="14" t="s">
        <v>92</v>
      </c>
      <c r="G29" s="14" t="s">
        <v>93</v>
      </c>
      <c r="H29" s="15" t="s">
        <v>372</v>
      </c>
    </row>
    <row r="30" ht="35" customHeight="1" spans="1:8" x14ac:dyDescent="0.25">
      <c r="A30" s="16" t="s">
        <v>501</v>
      </c>
      <c r="B30" s="16" t="s">
        <v>502</v>
      </c>
      <c r="C30" s="17" t="s">
        <v>27</v>
      </c>
      <c r="D30" s="17" t="s">
        <v>503</v>
      </c>
      <c r="E30" s="16" t="s">
        <v>65</v>
      </c>
      <c r="F30" s="16" t="s">
        <v>92</v>
      </c>
      <c r="G30" s="16" t="s">
        <v>93</v>
      </c>
      <c r="H30" s="17" t="s">
        <v>96</v>
      </c>
    </row>
    <row r="31" ht="35" customHeight="1" spans="1:8" x14ac:dyDescent="0.25">
      <c r="A31" s="14" t="s">
        <v>504</v>
      </c>
      <c r="B31" s="14" t="s">
        <v>502</v>
      </c>
      <c r="C31" s="15" t="s">
        <v>505</v>
      </c>
      <c r="D31" s="15" t="s">
        <v>506</v>
      </c>
      <c r="E31" s="14" t="s">
        <v>66</v>
      </c>
      <c r="F31" s="14" t="s">
        <v>171</v>
      </c>
      <c r="G31" s="14" t="s">
        <v>172</v>
      </c>
      <c r="H31" s="15" t="s">
        <v>96</v>
      </c>
    </row>
    <row r="32" ht="65" customHeight="1" spans="1:8" x14ac:dyDescent="0.25">
      <c r="A32" s="16" t="s">
        <v>507</v>
      </c>
      <c r="B32" s="16" t="s">
        <v>502</v>
      </c>
      <c r="C32" s="17" t="s">
        <v>508</v>
      </c>
      <c r="D32" s="17" t="s">
        <v>509</v>
      </c>
      <c r="E32" s="16" t="s">
        <v>65</v>
      </c>
      <c r="F32" s="16" t="s">
        <v>92</v>
      </c>
      <c r="G32" s="16" t="s">
        <v>93</v>
      </c>
      <c r="H32" s="17" t="s">
        <v>372</v>
      </c>
    </row>
  </sheetData>
  <autoFilter ref="A4:H32"/>
  <conditionalFormatting sqref="G5:G200">
    <cfRule type="cellIs" dxfId="4" priority="1" operator="equal">
      <formula>"미확정"</formula>
    </cfRule>
    <cfRule type="cellIs" dxfId="5" priority="2" operator="equal">
      <formula>"검토 필요"</formula>
    </cfRule>
    <cfRule type="cellIs" dxfId="6" priority="3" operator="equal">
      <formula>"확정"</formula>
    </cfRule>
    <cfRule type="cellIs" dxfId="7" priority="4" operator="equal">
      <formula>"제외"</formula>
    </cfRule>
  </conditionalFormatting>
  <dataValidations count="2">
    <dataValidation type="list" allowBlank="1" sqref="E5:E200">
      <formula1>"필수,권장,선택"</formula1>
    </dataValidation>
    <dataValidation type="list" allowBlank="1" sqref="G5:G200">
      <formula1>"확정,검토 필요,미확정"</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howGridLines="0">
      <pane xSplit="1" ySplit="4" topLeftCell="B5" activePane="bottomRight" state="frozen"/>
      <selection pane="bottomRight"/>
    </sheetView>
  </sheetViews>
  <sheetFormatPr defaultRowHeight="15" outlineLevelRow="0" outlineLevelCol="0" x14ac:dyDescent="55"/>
  <cols>
    <col min="2" max="2" width="10" customWidth="1"/>
    <col min="3" max="3" width="18" customWidth="1"/>
    <col min="4" max="4" width="20" customWidth="1"/>
    <col min="5" max="5" width="15" customWidth="1"/>
    <col min="6" max="6" width="26" customWidth="1"/>
    <col min="7" max="7" width="46" customWidth="1"/>
    <col min="8" max="8" width="22" customWidth="1"/>
    <col min="9" max="9" width="14" customWidth="1"/>
  </cols>
  <sheetData>
    <row r="1" ht="30" customHeight="1" spans="1:1" x14ac:dyDescent="0.25">
      <c r="A1" s="1" t="s">
        <v>46</v>
      </c>
    </row>
    <row r="2" spans="1:1" x14ac:dyDescent="0.25">
      <c r="A2" s="2" t="s">
        <v>510</v>
      </c>
    </row>
    <row r="4" ht="24" customHeight="1" spans="1:9" x14ac:dyDescent="0.25">
      <c r="A4" s="7" t="s">
        <v>511</v>
      </c>
      <c r="B4" s="7" t="s">
        <v>64</v>
      </c>
      <c r="C4" s="7" t="s">
        <v>512</v>
      </c>
      <c r="D4" s="7" t="s">
        <v>513</v>
      </c>
      <c r="E4" s="7" t="s">
        <v>514</v>
      </c>
      <c r="F4" s="7" t="s">
        <v>515</v>
      </c>
      <c r="G4" s="7" t="s">
        <v>516</v>
      </c>
      <c r="H4" s="7" t="s">
        <v>517</v>
      </c>
      <c r="I4" s="7" t="s">
        <v>87</v>
      </c>
    </row>
    <row r="5" ht="50" customHeight="1" spans="1:9" x14ac:dyDescent="0.25">
      <c r="A5" s="14" t="s">
        <v>95</v>
      </c>
      <c r="B5" s="14" t="s">
        <v>518</v>
      </c>
      <c r="C5" s="15" t="s">
        <v>519</v>
      </c>
      <c r="D5" s="15" t="s">
        <v>520</v>
      </c>
      <c r="E5" s="14" t="s">
        <v>521</v>
      </c>
      <c r="F5" s="15" t="s">
        <v>522</v>
      </c>
      <c r="G5" s="15" t="s">
        <v>523</v>
      </c>
      <c r="H5" s="15" t="s">
        <v>524</v>
      </c>
      <c r="I5" s="15" t="s">
        <v>525</v>
      </c>
    </row>
    <row r="6" ht="35" customHeight="1" spans="1:9" x14ac:dyDescent="0.25">
      <c r="A6" s="16" t="s">
        <v>119</v>
      </c>
      <c r="B6" s="16" t="s">
        <v>70</v>
      </c>
      <c r="C6" s="17" t="s">
        <v>526</v>
      </c>
      <c r="D6" s="17" t="s">
        <v>527</v>
      </c>
      <c r="E6" s="16" t="s">
        <v>521</v>
      </c>
      <c r="F6" s="17" t="s">
        <v>528</v>
      </c>
      <c r="G6" s="17" t="s">
        <v>529</v>
      </c>
      <c r="H6" s="17" t="s">
        <v>530</v>
      </c>
      <c r="I6" s="17" t="s">
        <v>531</v>
      </c>
    </row>
    <row r="7" ht="35" customHeight="1" spans="1:9" x14ac:dyDescent="0.25">
      <c r="A7" s="14" t="s">
        <v>112</v>
      </c>
      <c r="B7" s="14" t="s">
        <v>70</v>
      </c>
      <c r="C7" s="15" t="s">
        <v>532</v>
      </c>
      <c r="D7" s="15" t="s">
        <v>533</v>
      </c>
      <c r="E7" s="14" t="s">
        <v>521</v>
      </c>
      <c r="F7" s="15" t="s">
        <v>534</v>
      </c>
      <c r="G7" s="15" t="s">
        <v>535</v>
      </c>
      <c r="H7" s="15" t="s">
        <v>536</v>
      </c>
      <c r="I7" s="15" t="s">
        <v>537</v>
      </c>
    </row>
    <row r="8" ht="20" customHeight="1" spans="1:9" x14ac:dyDescent="0.25">
      <c r="A8" s="16" t="s">
        <v>151</v>
      </c>
      <c r="B8" s="16" t="s">
        <v>70</v>
      </c>
      <c r="C8" s="17" t="s">
        <v>538</v>
      </c>
      <c r="D8" s="17" t="s">
        <v>539</v>
      </c>
      <c r="E8" s="16" t="s">
        <v>185</v>
      </c>
      <c r="F8" s="17" t="s">
        <v>540</v>
      </c>
      <c r="G8" s="17" t="s">
        <v>541</v>
      </c>
      <c r="H8" s="17" t="s">
        <v>542</v>
      </c>
      <c r="I8" s="17" t="s">
        <v>96</v>
      </c>
    </row>
    <row r="9" ht="20" customHeight="1" spans="1:9" x14ac:dyDescent="0.25">
      <c r="A9" s="14" t="s">
        <v>173</v>
      </c>
      <c r="B9" s="14" t="s">
        <v>70</v>
      </c>
      <c r="C9" s="15" t="s">
        <v>543</v>
      </c>
      <c r="D9" s="15" t="s">
        <v>539</v>
      </c>
      <c r="E9" s="14" t="s">
        <v>185</v>
      </c>
      <c r="F9" s="15" t="s">
        <v>544</v>
      </c>
      <c r="G9" s="15" t="s">
        <v>545</v>
      </c>
      <c r="H9" s="15" t="s">
        <v>546</v>
      </c>
      <c r="I9" s="15" t="s">
        <v>96</v>
      </c>
    </row>
    <row r="10" ht="35" customHeight="1" spans="1:9" x14ac:dyDescent="0.25">
      <c r="A10" s="16" t="s">
        <v>179</v>
      </c>
      <c r="B10" s="16" t="s">
        <v>70</v>
      </c>
      <c r="C10" s="17" t="s">
        <v>176</v>
      </c>
      <c r="D10" s="17" t="s">
        <v>547</v>
      </c>
      <c r="E10" s="16" t="s">
        <v>521</v>
      </c>
      <c r="F10" s="17" t="s">
        <v>548</v>
      </c>
      <c r="G10" s="17" t="s">
        <v>549</v>
      </c>
      <c r="H10" s="17" t="s">
        <v>174</v>
      </c>
      <c r="I10" s="17" t="s">
        <v>550</v>
      </c>
    </row>
    <row r="11" ht="20" customHeight="1" spans="1:9" x14ac:dyDescent="0.25">
      <c r="A11" s="14" t="s">
        <v>186</v>
      </c>
      <c r="B11" s="14" t="s">
        <v>70</v>
      </c>
      <c r="C11" s="15" t="s">
        <v>183</v>
      </c>
      <c r="D11" s="15" t="s">
        <v>551</v>
      </c>
      <c r="E11" s="14" t="s">
        <v>521</v>
      </c>
      <c r="F11" s="15" t="s">
        <v>552</v>
      </c>
      <c r="G11" s="15" t="s">
        <v>553</v>
      </c>
      <c r="H11" s="15" t="s">
        <v>181</v>
      </c>
      <c r="I11" s="15" t="s">
        <v>554</v>
      </c>
    </row>
    <row r="12" ht="35" customHeight="1" spans="1:9" x14ac:dyDescent="0.25">
      <c r="A12" s="16" t="s">
        <v>555</v>
      </c>
      <c r="B12" s="16" t="s">
        <v>71</v>
      </c>
      <c r="C12" s="17" t="s">
        <v>556</v>
      </c>
      <c r="D12" s="17" t="s">
        <v>557</v>
      </c>
      <c r="E12" s="16" t="s">
        <v>521</v>
      </c>
      <c r="F12" s="17" t="s">
        <v>558</v>
      </c>
      <c r="G12" s="17" t="s">
        <v>559</v>
      </c>
      <c r="H12" s="17" t="s">
        <v>560</v>
      </c>
      <c r="I12" s="17" t="s">
        <v>561</v>
      </c>
    </row>
    <row r="13" ht="35" customHeight="1" spans="1:9" x14ac:dyDescent="0.25">
      <c r="A13" s="14" t="s">
        <v>206</v>
      </c>
      <c r="B13" s="14" t="s">
        <v>71</v>
      </c>
      <c r="C13" s="15" t="s">
        <v>202</v>
      </c>
      <c r="D13" s="15" t="s">
        <v>562</v>
      </c>
      <c r="E13" s="14" t="s">
        <v>521</v>
      </c>
      <c r="F13" s="15" t="s">
        <v>563</v>
      </c>
      <c r="G13" s="15" t="s">
        <v>564</v>
      </c>
      <c r="H13" s="15" t="s">
        <v>565</v>
      </c>
      <c r="I13" s="15" t="s">
        <v>537</v>
      </c>
    </row>
    <row r="14" ht="35" customHeight="1" spans="1:9" x14ac:dyDescent="0.25">
      <c r="A14" s="16" t="s">
        <v>224</v>
      </c>
      <c r="B14" s="16" t="s">
        <v>71</v>
      </c>
      <c r="C14" s="17" t="s">
        <v>566</v>
      </c>
      <c r="D14" s="17" t="s">
        <v>567</v>
      </c>
      <c r="E14" s="16" t="s">
        <v>521</v>
      </c>
      <c r="F14" s="17" t="s">
        <v>568</v>
      </c>
      <c r="G14" s="17" t="s">
        <v>569</v>
      </c>
      <c r="H14" s="17" t="s">
        <v>219</v>
      </c>
      <c r="I14" s="17" t="s">
        <v>570</v>
      </c>
    </row>
    <row r="15" ht="35" customHeight="1" spans="1:9" x14ac:dyDescent="0.25">
      <c r="A15" s="14" t="s">
        <v>571</v>
      </c>
      <c r="B15" s="14" t="s">
        <v>71</v>
      </c>
      <c r="C15" s="15" t="s">
        <v>228</v>
      </c>
      <c r="D15" s="15" t="s">
        <v>572</v>
      </c>
      <c r="E15" s="14" t="s">
        <v>185</v>
      </c>
      <c r="F15" s="15" t="s">
        <v>228</v>
      </c>
      <c r="G15" s="15" t="s">
        <v>573</v>
      </c>
      <c r="H15" s="15" t="s">
        <v>226</v>
      </c>
      <c r="I15" s="15" t="s">
        <v>574</v>
      </c>
    </row>
    <row r="16" ht="65" customHeight="1" spans="1:9" x14ac:dyDescent="0.25">
      <c r="A16" s="16" t="s">
        <v>237</v>
      </c>
      <c r="B16" s="16" t="s">
        <v>71</v>
      </c>
      <c r="C16" s="17" t="s">
        <v>575</v>
      </c>
      <c r="D16" s="17" t="s">
        <v>576</v>
      </c>
      <c r="E16" s="16" t="s">
        <v>521</v>
      </c>
      <c r="F16" s="17" t="s">
        <v>577</v>
      </c>
      <c r="G16" s="17" t="s">
        <v>578</v>
      </c>
      <c r="H16" s="17" t="s">
        <v>579</v>
      </c>
      <c r="I16" s="17" t="s">
        <v>580</v>
      </c>
    </row>
    <row r="17" ht="35" customHeight="1" spans="1:9" x14ac:dyDescent="0.25">
      <c r="A17" s="14" t="s">
        <v>244</v>
      </c>
      <c r="B17" s="14" t="s">
        <v>71</v>
      </c>
      <c r="C17" s="15" t="s">
        <v>581</v>
      </c>
      <c r="D17" s="15" t="s">
        <v>582</v>
      </c>
      <c r="E17" s="14" t="s">
        <v>521</v>
      </c>
      <c r="F17" s="15" t="s">
        <v>583</v>
      </c>
      <c r="G17" s="15" t="s">
        <v>584</v>
      </c>
      <c r="H17" s="15" t="s">
        <v>585</v>
      </c>
      <c r="I17" s="15" t="s">
        <v>96</v>
      </c>
    </row>
    <row r="18" ht="35" customHeight="1" spans="1:9" x14ac:dyDescent="0.25">
      <c r="A18" s="16" t="s">
        <v>586</v>
      </c>
      <c r="B18" s="16" t="s">
        <v>71</v>
      </c>
      <c r="C18" s="17" t="s">
        <v>587</v>
      </c>
      <c r="D18" s="17" t="s">
        <v>588</v>
      </c>
      <c r="E18" s="16" t="s">
        <v>521</v>
      </c>
      <c r="F18" s="17" t="s">
        <v>264</v>
      </c>
      <c r="G18" s="17" t="s">
        <v>589</v>
      </c>
      <c r="H18" s="17" t="s">
        <v>590</v>
      </c>
      <c r="I18" s="17" t="s">
        <v>591</v>
      </c>
    </row>
    <row r="19" ht="35" customHeight="1" spans="1:9" x14ac:dyDescent="0.25">
      <c r="A19" s="14" t="s">
        <v>255</v>
      </c>
      <c r="B19" s="14" t="s">
        <v>71</v>
      </c>
      <c r="C19" s="15" t="s">
        <v>592</v>
      </c>
      <c r="D19" s="15" t="s">
        <v>593</v>
      </c>
      <c r="E19" s="14" t="s">
        <v>521</v>
      </c>
      <c r="F19" s="15" t="s">
        <v>594</v>
      </c>
      <c r="G19" s="15" t="s">
        <v>595</v>
      </c>
      <c r="H19" s="15" t="s">
        <v>596</v>
      </c>
      <c r="I19" s="15" t="s">
        <v>597</v>
      </c>
    </row>
    <row r="20" ht="50" customHeight="1" spans="1:9" x14ac:dyDescent="0.25">
      <c r="A20" s="16" t="s">
        <v>366</v>
      </c>
      <c r="B20" s="16" t="s">
        <v>73</v>
      </c>
      <c r="C20" s="17" t="s">
        <v>363</v>
      </c>
      <c r="D20" s="17" t="s">
        <v>598</v>
      </c>
      <c r="E20" s="16" t="s">
        <v>599</v>
      </c>
      <c r="F20" s="17" t="s">
        <v>600</v>
      </c>
      <c r="G20" s="17" t="s">
        <v>601</v>
      </c>
      <c r="H20" s="17" t="s">
        <v>361</v>
      </c>
      <c r="I20" s="17" t="s">
        <v>602</v>
      </c>
    </row>
    <row r="21" ht="35" customHeight="1" spans="1:9" x14ac:dyDescent="0.25">
      <c r="A21" s="14" t="s">
        <v>285</v>
      </c>
      <c r="B21" s="14" t="s">
        <v>73</v>
      </c>
      <c r="C21" s="15" t="s">
        <v>603</v>
      </c>
      <c r="D21" s="15" t="s">
        <v>604</v>
      </c>
      <c r="E21" s="14" t="s">
        <v>599</v>
      </c>
      <c r="F21" s="15" t="s">
        <v>603</v>
      </c>
      <c r="G21" s="15" t="s">
        <v>605</v>
      </c>
      <c r="H21" s="15" t="s">
        <v>606</v>
      </c>
      <c r="I21" s="15" t="s">
        <v>96</v>
      </c>
    </row>
    <row r="22" ht="35" customHeight="1" spans="1:9" x14ac:dyDescent="0.25">
      <c r="A22" s="16" t="s">
        <v>294</v>
      </c>
      <c r="B22" s="16" t="s">
        <v>73</v>
      </c>
      <c r="C22" s="17" t="s">
        <v>607</v>
      </c>
      <c r="D22" s="17" t="s">
        <v>608</v>
      </c>
      <c r="E22" s="16" t="s">
        <v>599</v>
      </c>
      <c r="F22" s="17" t="s">
        <v>609</v>
      </c>
      <c r="G22" s="17" t="s">
        <v>610</v>
      </c>
      <c r="H22" s="17" t="s">
        <v>291</v>
      </c>
      <c r="I22" s="17" t="s">
        <v>611</v>
      </c>
    </row>
    <row r="23" ht="35" customHeight="1" spans="1:9" x14ac:dyDescent="0.25">
      <c r="A23" s="14" t="s">
        <v>300</v>
      </c>
      <c r="B23" s="14" t="s">
        <v>73</v>
      </c>
      <c r="C23" s="15" t="s">
        <v>297</v>
      </c>
      <c r="D23" s="15" t="s">
        <v>612</v>
      </c>
      <c r="E23" s="14" t="s">
        <v>599</v>
      </c>
      <c r="F23" s="15" t="s">
        <v>613</v>
      </c>
      <c r="G23" s="15" t="s">
        <v>614</v>
      </c>
      <c r="H23" s="15" t="s">
        <v>615</v>
      </c>
      <c r="I23" s="15" t="s">
        <v>96</v>
      </c>
    </row>
    <row r="24" ht="35" customHeight="1" spans="1:9" x14ac:dyDescent="0.25">
      <c r="A24" s="16" t="s">
        <v>306</v>
      </c>
      <c r="B24" s="16" t="s">
        <v>73</v>
      </c>
      <c r="C24" s="17" t="s">
        <v>616</v>
      </c>
      <c r="D24" s="17" t="s">
        <v>617</v>
      </c>
      <c r="E24" s="16" t="s">
        <v>599</v>
      </c>
      <c r="F24" s="17" t="s">
        <v>618</v>
      </c>
      <c r="G24" s="17" t="s">
        <v>619</v>
      </c>
      <c r="H24" s="17" t="s">
        <v>620</v>
      </c>
      <c r="I24" s="17" t="s">
        <v>96</v>
      </c>
    </row>
    <row r="25" ht="35" customHeight="1" spans="1:9" x14ac:dyDescent="0.25">
      <c r="A25" s="14" t="s">
        <v>621</v>
      </c>
      <c r="B25" s="14" t="s">
        <v>73</v>
      </c>
      <c r="C25" s="15" t="s">
        <v>587</v>
      </c>
      <c r="D25" s="15" t="s">
        <v>622</v>
      </c>
      <c r="E25" s="14" t="s">
        <v>599</v>
      </c>
      <c r="F25" s="15" t="s">
        <v>264</v>
      </c>
      <c r="G25" s="15" t="s">
        <v>623</v>
      </c>
      <c r="H25" s="15" t="s">
        <v>590</v>
      </c>
      <c r="I25" s="15" t="s">
        <v>624</v>
      </c>
    </row>
    <row r="26" ht="50" customHeight="1" spans="1:9" x14ac:dyDescent="0.25">
      <c r="A26" s="16" t="s">
        <v>317</v>
      </c>
      <c r="B26" s="16" t="s">
        <v>73</v>
      </c>
      <c r="C26" s="17" t="s">
        <v>625</v>
      </c>
      <c r="D26" s="17" t="s">
        <v>626</v>
      </c>
      <c r="E26" s="16" t="s">
        <v>599</v>
      </c>
      <c r="F26" s="17" t="s">
        <v>627</v>
      </c>
      <c r="G26" s="17" t="s">
        <v>628</v>
      </c>
      <c r="H26" s="17" t="s">
        <v>312</v>
      </c>
      <c r="I26" s="17" t="s">
        <v>629</v>
      </c>
    </row>
    <row r="27" ht="35" customHeight="1" spans="1:9" x14ac:dyDescent="0.25">
      <c r="A27" s="14" t="s">
        <v>332</v>
      </c>
      <c r="B27" s="14" t="s">
        <v>73</v>
      </c>
      <c r="C27" s="15" t="s">
        <v>329</v>
      </c>
      <c r="D27" s="15" t="s">
        <v>630</v>
      </c>
      <c r="E27" s="14" t="s">
        <v>599</v>
      </c>
      <c r="F27" s="15" t="s">
        <v>631</v>
      </c>
      <c r="G27" s="15" t="s">
        <v>632</v>
      </c>
      <c r="H27" s="15" t="s">
        <v>327</v>
      </c>
      <c r="I27" s="15" t="s">
        <v>96</v>
      </c>
    </row>
    <row r="28" ht="65" customHeight="1" spans="1:9" x14ac:dyDescent="0.25">
      <c r="A28" s="16" t="s">
        <v>353</v>
      </c>
      <c r="B28" s="16" t="s">
        <v>73</v>
      </c>
      <c r="C28" s="17" t="s">
        <v>350</v>
      </c>
      <c r="D28" s="17" t="s">
        <v>633</v>
      </c>
      <c r="E28" s="16" t="s">
        <v>599</v>
      </c>
      <c r="F28" s="17" t="s">
        <v>634</v>
      </c>
      <c r="G28" s="17" t="s">
        <v>635</v>
      </c>
      <c r="H28" s="17" t="s">
        <v>636</v>
      </c>
      <c r="I28" s="17" t="s">
        <v>637</v>
      </c>
    </row>
    <row r="29" ht="50" customHeight="1" spans="1:9" x14ac:dyDescent="0.25">
      <c r="A29" s="14" t="s">
        <v>638</v>
      </c>
      <c r="B29" s="14" t="s">
        <v>73</v>
      </c>
      <c r="C29" s="15" t="s">
        <v>639</v>
      </c>
      <c r="D29" s="15" t="s">
        <v>640</v>
      </c>
      <c r="E29" s="14" t="s">
        <v>599</v>
      </c>
      <c r="F29" s="15" t="s">
        <v>641</v>
      </c>
      <c r="G29" s="15" t="s">
        <v>642</v>
      </c>
      <c r="H29" s="15" t="s">
        <v>643</v>
      </c>
      <c r="I29" s="15" t="s">
        <v>644</v>
      </c>
    </row>
    <row r="30" ht="35" customHeight="1" spans="1:9" x14ac:dyDescent="0.25">
      <c r="A30" s="16" t="s">
        <v>645</v>
      </c>
      <c r="B30" s="16" t="s">
        <v>73</v>
      </c>
      <c r="C30" s="17" t="s">
        <v>646</v>
      </c>
      <c r="D30" s="17" t="s">
        <v>647</v>
      </c>
      <c r="E30" s="16" t="s">
        <v>599</v>
      </c>
      <c r="F30" s="17" t="s">
        <v>648</v>
      </c>
      <c r="G30" s="17" t="s">
        <v>649</v>
      </c>
      <c r="H30" s="17" t="s">
        <v>343</v>
      </c>
      <c r="I30" s="17" t="s">
        <v>96</v>
      </c>
    </row>
    <row r="31" ht="50" customHeight="1" spans="1:9" x14ac:dyDescent="0.25">
      <c r="A31" s="14" t="s">
        <v>359</v>
      </c>
      <c r="B31" s="14" t="s">
        <v>73</v>
      </c>
      <c r="C31" s="15" t="s">
        <v>650</v>
      </c>
      <c r="D31" s="15" t="s">
        <v>651</v>
      </c>
      <c r="E31" s="14" t="s">
        <v>599</v>
      </c>
      <c r="F31" s="15" t="s">
        <v>652</v>
      </c>
      <c r="G31" s="15" t="s">
        <v>653</v>
      </c>
      <c r="H31" s="15" t="s">
        <v>654</v>
      </c>
      <c r="I31" s="15" t="s">
        <v>96</v>
      </c>
    </row>
    <row r="32" ht="35" customHeight="1" spans="1:9" x14ac:dyDescent="0.25">
      <c r="A32" s="16" t="s">
        <v>371</v>
      </c>
      <c r="B32" s="16" t="s">
        <v>73</v>
      </c>
      <c r="C32" s="17" t="s">
        <v>362</v>
      </c>
      <c r="D32" s="17" t="s">
        <v>655</v>
      </c>
      <c r="E32" s="16" t="s">
        <v>599</v>
      </c>
      <c r="F32" s="17" t="s">
        <v>656</v>
      </c>
      <c r="G32" s="17" t="s">
        <v>657</v>
      </c>
      <c r="H32" s="17" t="s">
        <v>368</v>
      </c>
      <c r="I32" s="17" t="s">
        <v>96</v>
      </c>
    </row>
  </sheetData>
  <autoFilter ref="A4:I32"/>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2"/>
  <sheetViews>
    <sheetView workbookViewId="0" showGridLines="0">
      <pane xSplit="2" ySplit="4" topLeftCell="C5" activePane="bottomRight" state="frozen"/>
      <selection pane="bottomRight"/>
    </sheetView>
  </sheetViews>
  <sheetFormatPr defaultRowHeight="15" outlineLevelRow="0" outlineLevelCol="0" x14ac:dyDescent="55"/>
  <cols>
    <col min="2" max="2" width="16" customWidth="1"/>
    <col min="4" max="4" width="22" customWidth="1"/>
    <col min="5" max="5" width="18" customWidth="1"/>
    <col min="6" max="6" width="40" customWidth="1"/>
    <col min="7" max="7" width="42" customWidth="1"/>
    <col min="8" max="8" width="16" customWidth="1"/>
  </cols>
  <sheetData>
    <row r="1" ht="30" customHeight="1" spans="1:1" x14ac:dyDescent="0.25">
      <c r="A1" s="1" t="s">
        <v>658</v>
      </c>
    </row>
    <row r="2" spans="1:1" x14ac:dyDescent="0.25">
      <c r="A2" s="2" t="s">
        <v>659</v>
      </c>
    </row>
    <row r="4" ht="24" customHeight="1" spans="1:8" x14ac:dyDescent="0.25">
      <c r="A4" s="7" t="s">
        <v>511</v>
      </c>
      <c r="B4" s="7" t="s">
        <v>512</v>
      </c>
      <c r="C4" s="7" t="s">
        <v>660</v>
      </c>
      <c r="D4" s="7" t="s">
        <v>661</v>
      </c>
      <c r="E4" s="7" t="s">
        <v>662</v>
      </c>
      <c r="F4" s="7" t="s">
        <v>663</v>
      </c>
      <c r="G4" s="7" t="s">
        <v>664</v>
      </c>
      <c r="H4" s="7" t="s">
        <v>517</v>
      </c>
    </row>
    <row r="5" ht="35" customHeight="1" spans="1:8" x14ac:dyDescent="0.25">
      <c r="A5" s="14" t="s">
        <v>95</v>
      </c>
      <c r="B5" s="15" t="s">
        <v>519</v>
      </c>
      <c r="C5" s="14" t="s">
        <v>665</v>
      </c>
      <c r="D5" s="15" t="s">
        <v>666</v>
      </c>
      <c r="E5" s="15" t="s">
        <v>667</v>
      </c>
      <c r="F5" s="15" t="s">
        <v>668</v>
      </c>
      <c r="G5" s="15" t="s">
        <v>669</v>
      </c>
      <c r="H5" s="15" t="s">
        <v>507</v>
      </c>
    </row>
    <row r="6" ht="35" customHeight="1" spans="1:8" x14ac:dyDescent="0.25">
      <c r="A6" s="16" t="s">
        <v>95</v>
      </c>
      <c r="B6" s="17" t="s">
        <v>519</v>
      </c>
      <c r="C6" s="16" t="s">
        <v>670</v>
      </c>
      <c r="D6" s="17" t="s">
        <v>671</v>
      </c>
      <c r="E6" s="17" t="s">
        <v>672</v>
      </c>
      <c r="F6" s="17" t="s">
        <v>673</v>
      </c>
      <c r="G6" s="17" t="s">
        <v>674</v>
      </c>
      <c r="H6" s="17" t="s">
        <v>675</v>
      </c>
    </row>
    <row r="7" ht="20" customHeight="1" spans="1:8" x14ac:dyDescent="0.25">
      <c r="A7" s="14" t="s">
        <v>95</v>
      </c>
      <c r="B7" s="15" t="s">
        <v>519</v>
      </c>
      <c r="C7" s="14" t="s">
        <v>670</v>
      </c>
      <c r="D7" s="15" t="s">
        <v>676</v>
      </c>
      <c r="E7" s="15" t="s">
        <v>677</v>
      </c>
      <c r="F7" s="15" t="s">
        <v>678</v>
      </c>
      <c r="G7" s="15" t="s">
        <v>679</v>
      </c>
      <c r="H7" s="15" t="s">
        <v>675</v>
      </c>
    </row>
    <row r="8" ht="35" customHeight="1" spans="1:8" x14ac:dyDescent="0.25">
      <c r="A8" s="16" t="s">
        <v>95</v>
      </c>
      <c r="B8" s="17" t="s">
        <v>519</v>
      </c>
      <c r="C8" s="16" t="s">
        <v>670</v>
      </c>
      <c r="D8" s="17" t="s">
        <v>680</v>
      </c>
      <c r="E8" s="17" t="s">
        <v>681</v>
      </c>
      <c r="F8" s="17" t="s">
        <v>682</v>
      </c>
      <c r="G8" s="17" t="s">
        <v>683</v>
      </c>
      <c r="H8" s="17" t="s">
        <v>675</v>
      </c>
    </row>
    <row r="9" ht="20" customHeight="1" spans="1:8" x14ac:dyDescent="0.25">
      <c r="A9" s="14" t="s">
        <v>95</v>
      </c>
      <c r="B9" s="15" t="s">
        <v>519</v>
      </c>
      <c r="C9" s="14" t="s">
        <v>670</v>
      </c>
      <c r="D9" s="15" t="s">
        <v>684</v>
      </c>
      <c r="E9" s="15" t="s">
        <v>681</v>
      </c>
      <c r="F9" s="15" t="s">
        <v>685</v>
      </c>
      <c r="G9" s="15" t="s">
        <v>65</v>
      </c>
      <c r="H9" s="15" t="s">
        <v>675</v>
      </c>
    </row>
    <row r="10" ht="20" customHeight="1" spans="1:8" x14ac:dyDescent="0.25">
      <c r="A10" s="16" t="s">
        <v>95</v>
      </c>
      <c r="B10" s="17" t="s">
        <v>519</v>
      </c>
      <c r="C10" s="16" t="s">
        <v>670</v>
      </c>
      <c r="D10" s="17" t="s">
        <v>98</v>
      </c>
      <c r="E10" s="17" t="s">
        <v>686</v>
      </c>
      <c r="F10" s="17" t="s">
        <v>98</v>
      </c>
      <c r="G10" s="17" t="s">
        <v>687</v>
      </c>
      <c r="H10" s="17" t="s">
        <v>97</v>
      </c>
    </row>
    <row r="11" ht="35" customHeight="1" spans="1:8" x14ac:dyDescent="0.25">
      <c r="A11" s="14" t="s">
        <v>95</v>
      </c>
      <c r="B11" s="15" t="s">
        <v>519</v>
      </c>
      <c r="C11" s="14" t="s">
        <v>670</v>
      </c>
      <c r="D11" s="15" t="s">
        <v>89</v>
      </c>
      <c r="E11" s="15" t="s">
        <v>688</v>
      </c>
      <c r="F11" s="15" t="s">
        <v>89</v>
      </c>
      <c r="G11" s="15" t="s">
        <v>689</v>
      </c>
      <c r="H11" s="15" t="s">
        <v>675</v>
      </c>
    </row>
    <row r="12" ht="35" customHeight="1" spans="1:8" x14ac:dyDescent="0.25">
      <c r="A12" s="16" t="s">
        <v>95</v>
      </c>
      <c r="B12" s="17" t="s">
        <v>519</v>
      </c>
      <c r="C12" s="16" t="s">
        <v>59</v>
      </c>
      <c r="D12" s="17" t="s">
        <v>690</v>
      </c>
      <c r="E12" s="17" t="s">
        <v>691</v>
      </c>
      <c r="F12" s="17" t="s">
        <v>692</v>
      </c>
      <c r="G12" s="17" t="s">
        <v>96</v>
      </c>
      <c r="H12" s="17" t="s">
        <v>88</v>
      </c>
    </row>
    <row r="13" ht="35" customHeight="1" spans="1:8" x14ac:dyDescent="0.25">
      <c r="A13" s="14" t="s">
        <v>95</v>
      </c>
      <c r="B13" s="15" t="s">
        <v>519</v>
      </c>
      <c r="C13" s="14" t="s">
        <v>59</v>
      </c>
      <c r="D13" s="15" t="s">
        <v>693</v>
      </c>
      <c r="E13" s="15" t="s">
        <v>694</v>
      </c>
      <c r="F13" s="15" t="s">
        <v>695</v>
      </c>
      <c r="G13" s="15" t="s">
        <v>696</v>
      </c>
      <c r="H13" s="15" t="s">
        <v>128</v>
      </c>
    </row>
    <row r="14" ht="50" customHeight="1" spans="1:8" x14ac:dyDescent="0.25">
      <c r="A14" s="16" t="s">
        <v>179</v>
      </c>
      <c r="B14" s="17" t="s">
        <v>176</v>
      </c>
      <c r="C14" s="16" t="s">
        <v>670</v>
      </c>
      <c r="D14" s="17" t="s">
        <v>412</v>
      </c>
      <c r="E14" s="17" t="s">
        <v>697</v>
      </c>
      <c r="F14" s="17" t="s">
        <v>698</v>
      </c>
      <c r="G14" s="17" t="s">
        <v>699</v>
      </c>
      <c r="H14" s="17" t="s">
        <v>174</v>
      </c>
    </row>
    <row r="15" ht="20" customHeight="1" spans="1:8" x14ac:dyDescent="0.25">
      <c r="A15" s="14" t="s">
        <v>179</v>
      </c>
      <c r="B15" s="15" t="s">
        <v>176</v>
      </c>
      <c r="C15" s="14" t="s">
        <v>670</v>
      </c>
      <c r="D15" s="15" t="s">
        <v>700</v>
      </c>
      <c r="E15" s="15" t="s">
        <v>701</v>
      </c>
      <c r="F15" s="15" t="s">
        <v>702</v>
      </c>
      <c r="G15" s="15" t="s">
        <v>703</v>
      </c>
      <c r="H15" s="15" t="s">
        <v>174</v>
      </c>
    </row>
    <row r="16" ht="35" customHeight="1" spans="1:8" x14ac:dyDescent="0.25">
      <c r="A16" s="16" t="s">
        <v>179</v>
      </c>
      <c r="B16" s="17" t="s">
        <v>176</v>
      </c>
      <c r="C16" s="16" t="s">
        <v>670</v>
      </c>
      <c r="D16" s="17" t="s">
        <v>704</v>
      </c>
      <c r="E16" s="17" t="s">
        <v>705</v>
      </c>
      <c r="F16" s="17" t="s">
        <v>706</v>
      </c>
      <c r="G16" s="17" t="s">
        <v>707</v>
      </c>
      <c r="H16" s="17" t="s">
        <v>174</v>
      </c>
    </row>
    <row r="17" ht="35" customHeight="1" spans="1:8" x14ac:dyDescent="0.25">
      <c r="A17" s="14" t="s">
        <v>179</v>
      </c>
      <c r="B17" s="15" t="s">
        <v>176</v>
      </c>
      <c r="C17" s="14" t="s">
        <v>708</v>
      </c>
      <c r="D17" s="15" t="s">
        <v>709</v>
      </c>
      <c r="E17" s="15" t="s">
        <v>710</v>
      </c>
      <c r="F17" s="15" t="s">
        <v>711</v>
      </c>
      <c r="G17" s="15" t="s">
        <v>96</v>
      </c>
      <c r="H17" s="15" t="s">
        <v>174</v>
      </c>
    </row>
    <row r="18" ht="35" customHeight="1" spans="1:8" x14ac:dyDescent="0.25">
      <c r="A18" s="16" t="s">
        <v>555</v>
      </c>
      <c r="B18" s="17" t="s">
        <v>556</v>
      </c>
      <c r="C18" s="16" t="s">
        <v>670</v>
      </c>
      <c r="D18" s="17" t="s">
        <v>712</v>
      </c>
      <c r="E18" s="17" t="s">
        <v>713</v>
      </c>
      <c r="F18" s="17" t="s">
        <v>714</v>
      </c>
      <c r="G18" s="17" t="s">
        <v>96</v>
      </c>
      <c r="H18" s="17" t="s">
        <v>191</v>
      </c>
    </row>
    <row r="19" ht="35" customHeight="1" spans="1:8" x14ac:dyDescent="0.25">
      <c r="A19" s="14" t="s">
        <v>555</v>
      </c>
      <c r="B19" s="15" t="s">
        <v>556</v>
      </c>
      <c r="C19" s="14" t="s">
        <v>670</v>
      </c>
      <c r="D19" s="15" t="s">
        <v>715</v>
      </c>
      <c r="E19" s="15" t="s">
        <v>716</v>
      </c>
      <c r="F19" s="15" t="s">
        <v>717</v>
      </c>
      <c r="G19" s="15" t="s">
        <v>718</v>
      </c>
      <c r="H19" s="15" t="s">
        <v>719</v>
      </c>
    </row>
    <row r="20" ht="35" customHeight="1" spans="1:8" x14ac:dyDescent="0.25">
      <c r="A20" s="16" t="s">
        <v>555</v>
      </c>
      <c r="B20" s="17" t="s">
        <v>556</v>
      </c>
      <c r="C20" s="16" t="s">
        <v>670</v>
      </c>
      <c r="D20" s="17" t="s">
        <v>720</v>
      </c>
      <c r="E20" s="17" t="s">
        <v>688</v>
      </c>
      <c r="F20" s="17" t="s">
        <v>720</v>
      </c>
      <c r="G20" s="17" t="s">
        <v>721</v>
      </c>
      <c r="H20" s="17" t="s">
        <v>191</v>
      </c>
    </row>
    <row r="21" ht="35" customHeight="1" spans="1:8" x14ac:dyDescent="0.25">
      <c r="A21" s="14" t="s">
        <v>555</v>
      </c>
      <c r="B21" s="15" t="s">
        <v>556</v>
      </c>
      <c r="C21" s="14" t="s">
        <v>59</v>
      </c>
      <c r="D21" s="15" t="s">
        <v>722</v>
      </c>
      <c r="E21" s="15" t="s">
        <v>691</v>
      </c>
      <c r="F21" s="15" t="s">
        <v>723</v>
      </c>
      <c r="G21" s="15" t="s">
        <v>724</v>
      </c>
      <c r="H21" s="15" t="s">
        <v>426</v>
      </c>
    </row>
    <row r="22" ht="35" customHeight="1" spans="1:8" x14ac:dyDescent="0.25">
      <c r="A22" s="16" t="s">
        <v>119</v>
      </c>
      <c r="B22" s="17" t="s">
        <v>526</v>
      </c>
      <c r="C22" s="16" t="s">
        <v>670</v>
      </c>
      <c r="D22" s="17" t="s">
        <v>725</v>
      </c>
      <c r="E22" s="17" t="s">
        <v>726</v>
      </c>
      <c r="F22" s="17" t="s">
        <v>727</v>
      </c>
      <c r="G22" s="17" t="s">
        <v>65</v>
      </c>
      <c r="H22" s="17" t="s">
        <v>114</v>
      </c>
    </row>
    <row r="23" ht="35" customHeight="1" spans="1:8" x14ac:dyDescent="0.25">
      <c r="A23" s="14" t="s">
        <v>119</v>
      </c>
      <c r="B23" s="15" t="s">
        <v>526</v>
      </c>
      <c r="C23" s="14" t="s">
        <v>670</v>
      </c>
      <c r="D23" s="15" t="s">
        <v>728</v>
      </c>
      <c r="E23" s="15" t="s">
        <v>726</v>
      </c>
      <c r="F23" s="15" t="s">
        <v>729</v>
      </c>
      <c r="G23" s="15" t="s">
        <v>730</v>
      </c>
      <c r="H23" s="15" t="s">
        <v>114</v>
      </c>
    </row>
    <row r="24" ht="20" customHeight="1" spans="1:8" x14ac:dyDescent="0.25">
      <c r="A24" s="16" t="s">
        <v>119</v>
      </c>
      <c r="B24" s="17" t="s">
        <v>526</v>
      </c>
      <c r="C24" s="16" t="s">
        <v>670</v>
      </c>
      <c r="D24" s="17" t="s">
        <v>731</v>
      </c>
      <c r="E24" s="17" t="s">
        <v>713</v>
      </c>
      <c r="F24" s="17" t="s">
        <v>732</v>
      </c>
      <c r="G24" s="17" t="s">
        <v>96</v>
      </c>
      <c r="H24" s="17" t="s">
        <v>121</v>
      </c>
    </row>
    <row r="25" ht="35" customHeight="1" spans="1:8" x14ac:dyDescent="0.25">
      <c r="A25" s="14" t="s">
        <v>119</v>
      </c>
      <c r="B25" s="15" t="s">
        <v>526</v>
      </c>
      <c r="C25" s="14" t="s">
        <v>670</v>
      </c>
      <c r="D25" s="15" t="s">
        <v>733</v>
      </c>
      <c r="E25" s="15" t="s">
        <v>734</v>
      </c>
      <c r="F25" s="15" t="s">
        <v>733</v>
      </c>
      <c r="G25" s="15" t="s">
        <v>735</v>
      </c>
      <c r="H25" s="15" t="s">
        <v>530</v>
      </c>
    </row>
    <row r="26" ht="35" customHeight="1" spans="1:8" x14ac:dyDescent="0.25">
      <c r="A26" s="16" t="s">
        <v>112</v>
      </c>
      <c r="B26" s="17" t="s">
        <v>532</v>
      </c>
      <c r="C26" s="16" t="s">
        <v>665</v>
      </c>
      <c r="D26" s="17" t="s">
        <v>736</v>
      </c>
      <c r="E26" s="17" t="s">
        <v>737</v>
      </c>
      <c r="F26" s="17" t="s">
        <v>738</v>
      </c>
      <c r="G26" s="17" t="s">
        <v>739</v>
      </c>
      <c r="H26" s="17" t="s">
        <v>740</v>
      </c>
    </row>
    <row r="27" ht="20" customHeight="1" spans="1:8" x14ac:dyDescent="0.25">
      <c r="A27" s="14" t="s">
        <v>112</v>
      </c>
      <c r="B27" s="15" t="s">
        <v>532</v>
      </c>
      <c r="C27" s="14" t="s">
        <v>665</v>
      </c>
      <c r="D27" s="15" t="s">
        <v>741</v>
      </c>
      <c r="E27" s="15" t="s">
        <v>713</v>
      </c>
      <c r="F27" s="15" t="s">
        <v>742</v>
      </c>
      <c r="G27" s="15" t="s">
        <v>96</v>
      </c>
      <c r="H27" s="15" t="s">
        <v>107</v>
      </c>
    </row>
    <row r="28" ht="20" customHeight="1" spans="1:8" x14ac:dyDescent="0.25">
      <c r="A28" s="16" t="s">
        <v>112</v>
      </c>
      <c r="B28" s="17" t="s">
        <v>532</v>
      </c>
      <c r="C28" s="16" t="s">
        <v>665</v>
      </c>
      <c r="D28" s="17" t="s">
        <v>743</v>
      </c>
      <c r="E28" s="17" t="s">
        <v>734</v>
      </c>
      <c r="F28" s="17" t="s">
        <v>743</v>
      </c>
      <c r="G28" s="17" t="s">
        <v>96</v>
      </c>
      <c r="H28" s="17" t="s">
        <v>96</v>
      </c>
    </row>
    <row r="29" ht="20" customHeight="1" spans="1:8" x14ac:dyDescent="0.25">
      <c r="A29" s="14" t="s">
        <v>112</v>
      </c>
      <c r="B29" s="15" t="s">
        <v>532</v>
      </c>
      <c r="C29" s="14" t="s">
        <v>670</v>
      </c>
      <c r="D29" s="15" t="s">
        <v>744</v>
      </c>
      <c r="E29" s="15" t="s">
        <v>713</v>
      </c>
      <c r="F29" s="15" t="s">
        <v>745</v>
      </c>
      <c r="G29" s="15" t="s">
        <v>746</v>
      </c>
      <c r="H29" s="15" t="s">
        <v>134</v>
      </c>
    </row>
    <row r="30" ht="20" customHeight="1" spans="1:8" x14ac:dyDescent="0.25">
      <c r="A30" s="16" t="s">
        <v>112</v>
      </c>
      <c r="B30" s="17" t="s">
        <v>532</v>
      </c>
      <c r="C30" s="16" t="s">
        <v>670</v>
      </c>
      <c r="D30" s="17" t="s">
        <v>747</v>
      </c>
      <c r="E30" s="17" t="s">
        <v>713</v>
      </c>
      <c r="F30" s="17" t="s">
        <v>748</v>
      </c>
      <c r="G30" s="17" t="s">
        <v>749</v>
      </c>
      <c r="H30" s="17" t="s">
        <v>138</v>
      </c>
    </row>
    <row r="31" ht="20" customHeight="1" spans="1:8" x14ac:dyDescent="0.25">
      <c r="A31" s="14" t="s">
        <v>112</v>
      </c>
      <c r="B31" s="15" t="s">
        <v>532</v>
      </c>
      <c r="C31" s="14" t="s">
        <v>670</v>
      </c>
      <c r="D31" s="15" t="s">
        <v>750</v>
      </c>
      <c r="E31" s="15" t="s">
        <v>751</v>
      </c>
      <c r="F31" s="15" t="s">
        <v>752</v>
      </c>
      <c r="G31" s="15" t="s">
        <v>753</v>
      </c>
      <c r="H31" s="15" t="s">
        <v>142</v>
      </c>
    </row>
    <row r="32" ht="35" customHeight="1" spans="1:8" x14ac:dyDescent="0.25">
      <c r="A32" s="16" t="s">
        <v>112</v>
      </c>
      <c r="B32" s="17" t="s">
        <v>532</v>
      </c>
      <c r="C32" s="16" t="s">
        <v>670</v>
      </c>
      <c r="D32" s="17" t="s">
        <v>754</v>
      </c>
      <c r="E32" s="17" t="s">
        <v>755</v>
      </c>
      <c r="F32" s="17" t="s">
        <v>756</v>
      </c>
      <c r="G32" s="17" t="s">
        <v>757</v>
      </c>
      <c r="H32" s="17" t="s">
        <v>158</v>
      </c>
    </row>
    <row r="33" ht="35" customHeight="1" spans="1:8" x14ac:dyDescent="0.25">
      <c r="A33" s="14" t="s">
        <v>112</v>
      </c>
      <c r="B33" s="15" t="s">
        <v>532</v>
      </c>
      <c r="C33" s="14" t="s">
        <v>670</v>
      </c>
      <c r="D33" s="15" t="s">
        <v>164</v>
      </c>
      <c r="E33" s="15" t="s">
        <v>713</v>
      </c>
      <c r="F33" s="15" t="s">
        <v>758</v>
      </c>
      <c r="G33" s="15" t="s">
        <v>759</v>
      </c>
      <c r="H33" s="15" t="s">
        <v>163</v>
      </c>
    </row>
    <row r="34" ht="35" customHeight="1" spans="1:8" x14ac:dyDescent="0.25">
      <c r="A34" s="16" t="s">
        <v>112</v>
      </c>
      <c r="B34" s="17" t="s">
        <v>532</v>
      </c>
      <c r="C34" s="16" t="s">
        <v>670</v>
      </c>
      <c r="D34" s="17" t="s">
        <v>760</v>
      </c>
      <c r="E34" s="17" t="s">
        <v>710</v>
      </c>
      <c r="F34" s="17" t="s">
        <v>761</v>
      </c>
      <c r="G34" s="17" t="s">
        <v>762</v>
      </c>
      <c r="H34" s="17" t="s">
        <v>138</v>
      </c>
    </row>
    <row r="35" ht="20" customHeight="1" spans="1:8" x14ac:dyDescent="0.25">
      <c r="A35" s="14" t="s">
        <v>112</v>
      </c>
      <c r="B35" s="15" t="s">
        <v>532</v>
      </c>
      <c r="C35" s="14" t="s">
        <v>708</v>
      </c>
      <c r="D35" s="15" t="s">
        <v>763</v>
      </c>
      <c r="E35" s="15" t="s">
        <v>764</v>
      </c>
      <c r="F35" s="15" t="s">
        <v>765</v>
      </c>
      <c r="G35" s="15" t="s">
        <v>766</v>
      </c>
      <c r="H35" s="15" t="s">
        <v>174</v>
      </c>
    </row>
    <row r="36" ht="80" customHeight="1" spans="1:8" x14ac:dyDescent="0.25">
      <c r="A36" s="16" t="s">
        <v>112</v>
      </c>
      <c r="B36" s="17" t="s">
        <v>532</v>
      </c>
      <c r="C36" s="16" t="s">
        <v>59</v>
      </c>
      <c r="D36" s="17" t="s">
        <v>767</v>
      </c>
      <c r="E36" s="17" t="s">
        <v>768</v>
      </c>
      <c r="F36" s="17" t="s">
        <v>769</v>
      </c>
      <c r="G36" s="17" t="s">
        <v>770</v>
      </c>
      <c r="H36" s="17" t="s">
        <v>128</v>
      </c>
    </row>
    <row r="37" ht="65" customHeight="1" spans="1:8" x14ac:dyDescent="0.25">
      <c r="A37" s="14" t="s">
        <v>112</v>
      </c>
      <c r="B37" s="15" t="s">
        <v>532</v>
      </c>
      <c r="C37" s="14" t="s">
        <v>59</v>
      </c>
      <c r="D37" s="15" t="s">
        <v>771</v>
      </c>
      <c r="E37" s="15" t="s">
        <v>772</v>
      </c>
      <c r="F37" s="15" t="s">
        <v>773</v>
      </c>
      <c r="G37" s="15" t="s">
        <v>774</v>
      </c>
      <c r="H37" s="15" t="s">
        <v>775</v>
      </c>
    </row>
    <row r="38" ht="20" customHeight="1" spans="1:8" x14ac:dyDescent="0.25">
      <c r="A38" s="16" t="s">
        <v>112</v>
      </c>
      <c r="B38" s="17" t="s">
        <v>532</v>
      </c>
      <c r="C38" s="16" t="s">
        <v>59</v>
      </c>
      <c r="D38" s="17" t="s">
        <v>776</v>
      </c>
      <c r="E38" s="17" t="s">
        <v>694</v>
      </c>
      <c r="F38" s="17" t="s">
        <v>777</v>
      </c>
      <c r="G38" s="17" t="s">
        <v>778</v>
      </c>
      <c r="H38" s="17" t="s">
        <v>96</v>
      </c>
    </row>
    <row r="39" ht="20" customHeight="1" spans="1:8" x14ac:dyDescent="0.25">
      <c r="A39" s="14" t="s">
        <v>112</v>
      </c>
      <c r="B39" s="15" t="s">
        <v>532</v>
      </c>
      <c r="C39" s="14" t="s">
        <v>59</v>
      </c>
      <c r="D39" s="15" t="s">
        <v>779</v>
      </c>
      <c r="E39" s="15" t="s">
        <v>780</v>
      </c>
      <c r="F39" s="15" t="s">
        <v>781</v>
      </c>
      <c r="G39" s="15" t="s">
        <v>782</v>
      </c>
      <c r="H39" s="15" t="s">
        <v>101</v>
      </c>
    </row>
    <row r="40" ht="20" customHeight="1" spans="1:8" x14ac:dyDescent="0.25">
      <c r="A40" s="16" t="s">
        <v>151</v>
      </c>
      <c r="B40" s="17" t="s">
        <v>538</v>
      </c>
      <c r="C40" s="16" t="s">
        <v>783</v>
      </c>
      <c r="D40" s="17" t="s">
        <v>784</v>
      </c>
      <c r="E40" s="17" t="s">
        <v>785</v>
      </c>
      <c r="F40" s="17" t="s">
        <v>786</v>
      </c>
      <c r="G40" s="17" t="s">
        <v>787</v>
      </c>
      <c r="H40" s="17" t="s">
        <v>147</v>
      </c>
    </row>
    <row r="41" ht="20" customHeight="1" spans="1:8" x14ac:dyDescent="0.25">
      <c r="A41" s="14" t="s">
        <v>151</v>
      </c>
      <c r="B41" s="15" t="s">
        <v>538</v>
      </c>
      <c r="C41" s="14" t="s">
        <v>788</v>
      </c>
      <c r="D41" s="15" t="s">
        <v>789</v>
      </c>
      <c r="E41" s="15" t="s">
        <v>790</v>
      </c>
      <c r="F41" s="15" t="s">
        <v>791</v>
      </c>
      <c r="G41" s="15" t="s">
        <v>792</v>
      </c>
      <c r="H41" s="15" t="s">
        <v>153</v>
      </c>
    </row>
    <row r="42" ht="20" customHeight="1" spans="1:8" x14ac:dyDescent="0.25">
      <c r="A42" s="16" t="s">
        <v>151</v>
      </c>
      <c r="B42" s="17" t="s">
        <v>538</v>
      </c>
      <c r="C42" s="16" t="s">
        <v>788</v>
      </c>
      <c r="D42" s="17" t="s">
        <v>793</v>
      </c>
      <c r="E42" s="17" t="s">
        <v>734</v>
      </c>
      <c r="F42" s="17" t="s">
        <v>794</v>
      </c>
      <c r="G42" s="17" t="s">
        <v>795</v>
      </c>
      <c r="H42" s="17" t="s">
        <v>542</v>
      </c>
    </row>
    <row r="43" ht="20" customHeight="1" spans="1:8" x14ac:dyDescent="0.25">
      <c r="A43" s="14" t="s">
        <v>173</v>
      </c>
      <c r="B43" s="15" t="s">
        <v>543</v>
      </c>
      <c r="C43" s="14" t="s">
        <v>670</v>
      </c>
      <c r="D43" s="15" t="s">
        <v>796</v>
      </c>
      <c r="E43" s="15" t="s">
        <v>797</v>
      </c>
      <c r="F43" s="15" t="s">
        <v>798</v>
      </c>
      <c r="G43" s="15" t="s">
        <v>799</v>
      </c>
      <c r="H43" s="15" t="s">
        <v>158</v>
      </c>
    </row>
    <row r="44" ht="20" customHeight="1" spans="1:8" x14ac:dyDescent="0.25">
      <c r="A44" s="16" t="s">
        <v>173</v>
      </c>
      <c r="B44" s="17" t="s">
        <v>543</v>
      </c>
      <c r="C44" s="16" t="s">
        <v>670</v>
      </c>
      <c r="D44" s="17" t="s">
        <v>800</v>
      </c>
      <c r="E44" s="17" t="s">
        <v>801</v>
      </c>
      <c r="F44" s="17" t="s">
        <v>802</v>
      </c>
      <c r="G44" s="17" t="s">
        <v>803</v>
      </c>
      <c r="H44" s="17" t="s">
        <v>168</v>
      </c>
    </row>
    <row r="45" ht="20" customHeight="1" spans="1:8" x14ac:dyDescent="0.25">
      <c r="A45" s="14" t="s">
        <v>173</v>
      </c>
      <c r="B45" s="15" t="s">
        <v>543</v>
      </c>
      <c r="C45" s="14" t="s">
        <v>670</v>
      </c>
      <c r="D45" s="15" t="s">
        <v>804</v>
      </c>
      <c r="E45" s="15" t="s">
        <v>805</v>
      </c>
      <c r="F45" s="15" t="s">
        <v>806</v>
      </c>
      <c r="G45" s="15" t="s">
        <v>807</v>
      </c>
      <c r="H45" s="15" t="s">
        <v>168</v>
      </c>
    </row>
    <row r="46" ht="20" customHeight="1" spans="1:8" x14ac:dyDescent="0.25">
      <c r="A46" s="16" t="s">
        <v>173</v>
      </c>
      <c r="B46" s="17" t="s">
        <v>543</v>
      </c>
      <c r="C46" s="16" t="s">
        <v>670</v>
      </c>
      <c r="D46" s="17" t="s">
        <v>808</v>
      </c>
      <c r="E46" s="17" t="s">
        <v>809</v>
      </c>
      <c r="F46" s="17" t="s">
        <v>810</v>
      </c>
      <c r="G46" s="17" t="s">
        <v>811</v>
      </c>
      <c r="H46" s="17" t="s">
        <v>168</v>
      </c>
    </row>
    <row r="47" ht="20" customHeight="1" spans="1:8" x14ac:dyDescent="0.25">
      <c r="A47" s="14" t="s">
        <v>173</v>
      </c>
      <c r="B47" s="15" t="s">
        <v>543</v>
      </c>
      <c r="C47" s="14" t="s">
        <v>670</v>
      </c>
      <c r="D47" s="15" t="s">
        <v>812</v>
      </c>
      <c r="E47" s="15" t="s">
        <v>797</v>
      </c>
      <c r="F47" s="15" t="s">
        <v>813</v>
      </c>
      <c r="G47" s="15" t="s">
        <v>96</v>
      </c>
      <c r="H47" s="15" t="s">
        <v>814</v>
      </c>
    </row>
    <row r="48" ht="35" customHeight="1" spans="1:8" x14ac:dyDescent="0.25">
      <c r="A48" s="16" t="s">
        <v>173</v>
      </c>
      <c r="B48" s="17" t="s">
        <v>543</v>
      </c>
      <c r="C48" s="16" t="s">
        <v>708</v>
      </c>
      <c r="D48" s="17" t="s">
        <v>763</v>
      </c>
      <c r="E48" s="17" t="s">
        <v>764</v>
      </c>
      <c r="F48" s="17" t="s">
        <v>815</v>
      </c>
      <c r="G48" s="17" t="s">
        <v>816</v>
      </c>
      <c r="H48" s="17" t="s">
        <v>174</v>
      </c>
    </row>
    <row r="49" ht="20" customHeight="1" spans="1:8" x14ac:dyDescent="0.25">
      <c r="A49" s="14" t="s">
        <v>206</v>
      </c>
      <c r="B49" s="15" t="s">
        <v>202</v>
      </c>
      <c r="C49" s="14" t="s">
        <v>665</v>
      </c>
      <c r="D49" s="15" t="s">
        <v>817</v>
      </c>
      <c r="E49" s="15" t="s">
        <v>713</v>
      </c>
      <c r="F49" s="15" t="s">
        <v>818</v>
      </c>
      <c r="G49" s="15" t="s">
        <v>96</v>
      </c>
      <c r="H49" s="15" t="s">
        <v>197</v>
      </c>
    </row>
    <row r="50" ht="35" customHeight="1" spans="1:8" x14ac:dyDescent="0.25">
      <c r="A50" s="16" t="s">
        <v>206</v>
      </c>
      <c r="B50" s="17" t="s">
        <v>202</v>
      </c>
      <c r="C50" s="16" t="s">
        <v>665</v>
      </c>
      <c r="D50" s="17" t="s">
        <v>819</v>
      </c>
      <c r="E50" s="17" t="s">
        <v>820</v>
      </c>
      <c r="F50" s="17" t="s">
        <v>821</v>
      </c>
      <c r="G50" s="17" t="s">
        <v>822</v>
      </c>
      <c r="H50" s="17" t="s">
        <v>823</v>
      </c>
    </row>
    <row r="51" ht="35" customHeight="1" spans="1:8" x14ac:dyDescent="0.25">
      <c r="A51" s="14" t="s">
        <v>206</v>
      </c>
      <c r="B51" s="15" t="s">
        <v>202</v>
      </c>
      <c r="C51" s="14" t="s">
        <v>824</v>
      </c>
      <c r="D51" s="15" t="s">
        <v>825</v>
      </c>
      <c r="E51" s="15" t="s">
        <v>826</v>
      </c>
      <c r="F51" s="15" t="s">
        <v>827</v>
      </c>
      <c r="G51" s="15" t="s">
        <v>828</v>
      </c>
      <c r="H51" s="15" t="s">
        <v>201</v>
      </c>
    </row>
    <row r="52" ht="35" customHeight="1" spans="1:8" x14ac:dyDescent="0.25">
      <c r="A52" s="16" t="s">
        <v>206</v>
      </c>
      <c r="B52" s="17" t="s">
        <v>202</v>
      </c>
      <c r="C52" s="16" t="s">
        <v>829</v>
      </c>
      <c r="D52" s="17" t="s">
        <v>830</v>
      </c>
      <c r="E52" s="17" t="s">
        <v>831</v>
      </c>
      <c r="F52" s="17" t="s">
        <v>832</v>
      </c>
      <c r="G52" s="17" t="s">
        <v>833</v>
      </c>
      <c r="H52" s="17" t="s">
        <v>207</v>
      </c>
    </row>
    <row r="53" ht="20" customHeight="1" spans="1:8" x14ac:dyDescent="0.25">
      <c r="A53" s="14" t="s">
        <v>206</v>
      </c>
      <c r="B53" s="15" t="s">
        <v>202</v>
      </c>
      <c r="C53" s="14" t="s">
        <v>670</v>
      </c>
      <c r="D53" s="15" t="s">
        <v>221</v>
      </c>
      <c r="E53" s="15" t="s">
        <v>734</v>
      </c>
      <c r="F53" s="15" t="s">
        <v>834</v>
      </c>
      <c r="G53" s="15" t="s">
        <v>835</v>
      </c>
      <c r="H53" s="15" t="s">
        <v>219</v>
      </c>
    </row>
    <row r="54" ht="35" customHeight="1" spans="1:8" x14ac:dyDescent="0.25">
      <c r="A54" s="16" t="s">
        <v>206</v>
      </c>
      <c r="B54" s="17" t="s">
        <v>202</v>
      </c>
      <c r="C54" s="16" t="s">
        <v>670</v>
      </c>
      <c r="D54" s="17" t="s">
        <v>836</v>
      </c>
      <c r="E54" s="17" t="s">
        <v>837</v>
      </c>
      <c r="F54" s="17" t="s">
        <v>838</v>
      </c>
      <c r="G54" s="17" t="s">
        <v>839</v>
      </c>
      <c r="H54" s="17" t="s">
        <v>840</v>
      </c>
    </row>
    <row r="55" ht="20" customHeight="1" spans="1:8" x14ac:dyDescent="0.25">
      <c r="A55" s="14" t="s">
        <v>206</v>
      </c>
      <c r="B55" s="15" t="s">
        <v>202</v>
      </c>
      <c r="C55" s="14" t="s">
        <v>670</v>
      </c>
      <c r="D55" s="15" t="s">
        <v>841</v>
      </c>
      <c r="E55" s="15" t="s">
        <v>842</v>
      </c>
      <c r="F55" s="15" t="s">
        <v>841</v>
      </c>
      <c r="G55" s="15" t="s">
        <v>843</v>
      </c>
      <c r="H55" s="15" t="s">
        <v>226</v>
      </c>
    </row>
    <row r="56" ht="20" customHeight="1" spans="1:8" x14ac:dyDescent="0.25">
      <c r="A56" s="16" t="s">
        <v>206</v>
      </c>
      <c r="B56" s="17" t="s">
        <v>202</v>
      </c>
      <c r="C56" s="16" t="s">
        <v>708</v>
      </c>
      <c r="D56" s="17" t="s">
        <v>844</v>
      </c>
      <c r="E56" s="17" t="s">
        <v>845</v>
      </c>
      <c r="F56" s="17" t="s">
        <v>846</v>
      </c>
      <c r="G56" s="17" t="s">
        <v>847</v>
      </c>
      <c r="H56" s="17" t="s">
        <v>214</v>
      </c>
    </row>
    <row r="57" ht="35" customHeight="1" spans="1:8" x14ac:dyDescent="0.25">
      <c r="A57" s="14" t="s">
        <v>224</v>
      </c>
      <c r="B57" s="15" t="s">
        <v>566</v>
      </c>
      <c r="C57" s="14" t="s">
        <v>670</v>
      </c>
      <c r="D57" s="15" t="s">
        <v>747</v>
      </c>
      <c r="E57" s="15" t="s">
        <v>848</v>
      </c>
      <c r="F57" s="15" t="s">
        <v>748</v>
      </c>
      <c r="G57" s="15" t="s">
        <v>96</v>
      </c>
      <c r="H57" s="15" t="s">
        <v>219</v>
      </c>
    </row>
    <row r="58" ht="35" customHeight="1" spans="1:8" x14ac:dyDescent="0.25">
      <c r="A58" s="16" t="s">
        <v>224</v>
      </c>
      <c r="B58" s="17" t="s">
        <v>566</v>
      </c>
      <c r="C58" s="16" t="s">
        <v>670</v>
      </c>
      <c r="D58" s="17" t="s">
        <v>220</v>
      </c>
      <c r="E58" s="17" t="s">
        <v>849</v>
      </c>
      <c r="F58" s="17" t="s">
        <v>850</v>
      </c>
      <c r="G58" s="17" t="s">
        <v>851</v>
      </c>
      <c r="H58" s="17" t="s">
        <v>219</v>
      </c>
    </row>
    <row r="59" ht="35" customHeight="1" spans="1:8" x14ac:dyDescent="0.25">
      <c r="A59" s="14" t="s">
        <v>224</v>
      </c>
      <c r="B59" s="15" t="s">
        <v>566</v>
      </c>
      <c r="C59" s="14" t="s">
        <v>670</v>
      </c>
      <c r="D59" s="15" t="s">
        <v>852</v>
      </c>
      <c r="E59" s="15" t="s">
        <v>853</v>
      </c>
      <c r="F59" s="15" t="s">
        <v>854</v>
      </c>
      <c r="G59" s="15" t="s">
        <v>96</v>
      </c>
      <c r="H59" s="15" t="s">
        <v>219</v>
      </c>
    </row>
    <row r="60" ht="35" customHeight="1" spans="1:8" x14ac:dyDescent="0.25">
      <c r="A60" s="16" t="s">
        <v>224</v>
      </c>
      <c r="B60" s="17" t="s">
        <v>566</v>
      </c>
      <c r="C60" s="16" t="s">
        <v>670</v>
      </c>
      <c r="D60" s="17" t="s">
        <v>855</v>
      </c>
      <c r="E60" s="17" t="s">
        <v>713</v>
      </c>
      <c r="F60" s="17" t="s">
        <v>856</v>
      </c>
      <c r="G60" s="17" t="s">
        <v>857</v>
      </c>
      <c r="H60" s="17" t="s">
        <v>219</v>
      </c>
    </row>
    <row r="61" ht="35" customHeight="1" spans="1:8" x14ac:dyDescent="0.25">
      <c r="A61" s="14" t="s">
        <v>224</v>
      </c>
      <c r="B61" s="15" t="s">
        <v>566</v>
      </c>
      <c r="C61" s="14" t="s">
        <v>708</v>
      </c>
      <c r="D61" s="15" t="s">
        <v>858</v>
      </c>
      <c r="E61" s="15" t="s">
        <v>734</v>
      </c>
      <c r="F61" s="15" t="s">
        <v>859</v>
      </c>
      <c r="G61" s="15" t="s">
        <v>96</v>
      </c>
      <c r="H61" s="15" t="s">
        <v>96</v>
      </c>
    </row>
    <row r="62" ht="20" customHeight="1" spans="1:8" x14ac:dyDescent="0.25">
      <c r="A62" s="16" t="s">
        <v>586</v>
      </c>
      <c r="B62" s="17" t="s">
        <v>587</v>
      </c>
      <c r="C62" s="16" t="s">
        <v>783</v>
      </c>
      <c r="D62" s="17" t="s">
        <v>860</v>
      </c>
      <c r="E62" s="17" t="s">
        <v>734</v>
      </c>
      <c r="F62" s="17" t="s">
        <v>861</v>
      </c>
      <c r="G62" s="17" t="s">
        <v>862</v>
      </c>
      <c r="H62" s="17" t="s">
        <v>262</v>
      </c>
    </row>
    <row r="63" ht="20" customHeight="1" spans="1:8" x14ac:dyDescent="0.25">
      <c r="A63" s="14" t="s">
        <v>586</v>
      </c>
      <c r="B63" s="15" t="s">
        <v>587</v>
      </c>
      <c r="C63" s="14" t="s">
        <v>788</v>
      </c>
      <c r="D63" s="15" t="s">
        <v>863</v>
      </c>
      <c r="E63" s="15" t="s">
        <v>864</v>
      </c>
      <c r="F63" s="15" t="s">
        <v>865</v>
      </c>
      <c r="G63" s="15" t="s">
        <v>866</v>
      </c>
      <c r="H63" s="15" t="s">
        <v>262</v>
      </c>
    </row>
    <row r="64" ht="35" customHeight="1" spans="1:8" x14ac:dyDescent="0.25">
      <c r="A64" s="16" t="s">
        <v>586</v>
      </c>
      <c r="B64" s="17" t="s">
        <v>587</v>
      </c>
      <c r="C64" s="16" t="s">
        <v>867</v>
      </c>
      <c r="D64" s="17" t="s">
        <v>868</v>
      </c>
      <c r="E64" s="17" t="s">
        <v>837</v>
      </c>
      <c r="F64" s="17" t="s">
        <v>869</v>
      </c>
      <c r="G64" s="17" t="s">
        <v>870</v>
      </c>
      <c r="H64" s="17" t="s">
        <v>269</v>
      </c>
    </row>
    <row r="65" ht="20" customHeight="1" spans="1:8" x14ac:dyDescent="0.25">
      <c r="A65" s="14" t="s">
        <v>586</v>
      </c>
      <c r="B65" s="15" t="s">
        <v>587</v>
      </c>
      <c r="C65" s="14" t="s">
        <v>867</v>
      </c>
      <c r="D65" s="15" t="s">
        <v>871</v>
      </c>
      <c r="E65" s="15" t="s">
        <v>872</v>
      </c>
      <c r="F65" s="15" t="s">
        <v>873</v>
      </c>
      <c r="G65" s="15" t="s">
        <v>96</v>
      </c>
      <c r="H65" s="15" t="s">
        <v>269</v>
      </c>
    </row>
    <row r="66" ht="20" customHeight="1" spans="1:8" x14ac:dyDescent="0.25">
      <c r="A66" s="16" t="s">
        <v>586</v>
      </c>
      <c r="B66" s="17" t="s">
        <v>587</v>
      </c>
      <c r="C66" s="16" t="s">
        <v>874</v>
      </c>
      <c r="D66" s="17" t="s">
        <v>93</v>
      </c>
      <c r="E66" s="17" t="s">
        <v>734</v>
      </c>
      <c r="F66" s="17" t="s">
        <v>875</v>
      </c>
      <c r="G66" s="17" t="s">
        <v>876</v>
      </c>
      <c r="H66" s="17" t="s">
        <v>262</v>
      </c>
    </row>
    <row r="67" ht="20" customHeight="1" spans="1:8" x14ac:dyDescent="0.25">
      <c r="A67" s="14" t="s">
        <v>586</v>
      </c>
      <c r="B67" s="15" t="s">
        <v>587</v>
      </c>
      <c r="C67" s="14" t="s">
        <v>877</v>
      </c>
      <c r="D67" s="15" t="s">
        <v>878</v>
      </c>
      <c r="E67" s="15" t="s">
        <v>713</v>
      </c>
      <c r="F67" s="15" t="s">
        <v>879</v>
      </c>
      <c r="G67" s="15" t="s">
        <v>96</v>
      </c>
      <c r="H67" s="15" t="s">
        <v>262</v>
      </c>
    </row>
    <row r="68" ht="35" customHeight="1" spans="1:8" x14ac:dyDescent="0.25">
      <c r="A68" s="16" t="s">
        <v>255</v>
      </c>
      <c r="B68" s="17" t="s">
        <v>592</v>
      </c>
      <c r="C68" s="16" t="s">
        <v>670</v>
      </c>
      <c r="D68" s="17" t="s">
        <v>880</v>
      </c>
      <c r="E68" s="17" t="s">
        <v>837</v>
      </c>
      <c r="F68" s="17" t="s">
        <v>881</v>
      </c>
      <c r="G68" s="17" t="s">
        <v>882</v>
      </c>
      <c r="H68" s="17" t="s">
        <v>251</v>
      </c>
    </row>
    <row r="69" ht="50" customHeight="1" spans="1:8" x14ac:dyDescent="0.25">
      <c r="A69" s="14" t="s">
        <v>255</v>
      </c>
      <c r="B69" s="15" t="s">
        <v>592</v>
      </c>
      <c r="C69" s="14" t="s">
        <v>670</v>
      </c>
      <c r="D69" s="15" t="s">
        <v>883</v>
      </c>
      <c r="E69" s="15" t="s">
        <v>842</v>
      </c>
      <c r="F69" s="15" t="s">
        <v>884</v>
      </c>
      <c r="G69" s="15" t="s">
        <v>885</v>
      </c>
      <c r="H69" s="15" t="s">
        <v>596</v>
      </c>
    </row>
    <row r="70" ht="20" customHeight="1" spans="1:8" x14ac:dyDescent="0.25">
      <c r="A70" s="16" t="s">
        <v>255</v>
      </c>
      <c r="B70" s="17" t="s">
        <v>592</v>
      </c>
      <c r="C70" s="16" t="s">
        <v>708</v>
      </c>
      <c r="D70" s="17" t="s">
        <v>886</v>
      </c>
      <c r="E70" s="17" t="s">
        <v>837</v>
      </c>
      <c r="F70" s="17" t="s">
        <v>887</v>
      </c>
      <c r="G70" s="17" t="s">
        <v>888</v>
      </c>
      <c r="H70" s="17" t="s">
        <v>889</v>
      </c>
    </row>
    <row r="71" ht="35" customHeight="1" spans="1:8" x14ac:dyDescent="0.25">
      <c r="A71" s="14" t="s">
        <v>237</v>
      </c>
      <c r="B71" s="15" t="s">
        <v>575</v>
      </c>
      <c r="C71" s="14" t="s">
        <v>665</v>
      </c>
      <c r="D71" s="15" t="s">
        <v>820</v>
      </c>
      <c r="E71" s="15" t="s">
        <v>890</v>
      </c>
      <c r="F71" s="15" t="s">
        <v>891</v>
      </c>
      <c r="G71" s="15" t="s">
        <v>892</v>
      </c>
      <c r="H71" s="15" t="s">
        <v>893</v>
      </c>
    </row>
    <row r="72" ht="35" customHeight="1" spans="1:8" x14ac:dyDescent="0.25">
      <c r="A72" s="16" t="s">
        <v>237</v>
      </c>
      <c r="B72" s="17" t="s">
        <v>575</v>
      </c>
      <c r="C72" s="16" t="s">
        <v>670</v>
      </c>
      <c r="D72" s="17" t="s">
        <v>894</v>
      </c>
      <c r="E72" s="17" t="s">
        <v>895</v>
      </c>
      <c r="F72" s="17" t="s">
        <v>896</v>
      </c>
      <c r="G72" s="17" t="s">
        <v>96</v>
      </c>
      <c r="H72" s="17" t="s">
        <v>233</v>
      </c>
    </row>
    <row r="73" ht="35" customHeight="1" spans="1:8" x14ac:dyDescent="0.25">
      <c r="A73" s="14" t="s">
        <v>237</v>
      </c>
      <c r="B73" s="15" t="s">
        <v>575</v>
      </c>
      <c r="C73" s="14" t="s">
        <v>670</v>
      </c>
      <c r="D73" s="15" t="s">
        <v>897</v>
      </c>
      <c r="E73" s="15" t="s">
        <v>898</v>
      </c>
      <c r="F73" s="15" t="s">
        <v>899</v>
      </c>
      <c r="G73" s="15" t="s">
        <v>900</v>
      </c>
      <c r="H73" s="15" t="s">
        <v>901</v>
      </c>
    </row>
    <row r="74" ht="35" customHeight="1" spans="1:8" x14ac:dyDescent="0.25">
      <c r="A74" s="16" t="s">
        <v>237</v>
      </c>
      <c r="B74" s="17" t="s">
        <v>575</v>
      </c>
      <c r="C74" s="16" t="s">
        <v>670</v>
      </c>
      <c r="D74" s="17" t="s">
        <v>228</v>
      </c>
      <c r="E74" s="17" t="s">
        <v>902</v>
      </c>
      <c r="F74" s="17" t="s">
        <v>903</v>
      </c>
      <c r="G74" s="17" t="s">
        <v>574</v>
      </c>
      <c r="H74" s="17" t="s">
        <v>226</v>
      </c>
    </row>
    <row r="75" ht="80" customHeight="1" spans="1:8" x14ac:dyDescent="0.25">
      <c r="A75" s="14" t="s">
        <v>237</v>
      </c>
      <c r="B75" s="15" t="s">
        <v>575</v>
      </c>
      <c r="C75" s="14" t="s">
        <v>708</v>
      </c>
      <c r="D75" s="15" t="s">
        <v>904</v>
      </c>
      <c r="E75" s="15" t="s">
        <v>902</v>
      </c>
      <c r="F75" s="15" t="s">
        <v>905</v>
      </c>
      <c r="G75" s="15" t="s">
        <v>96</v>
      </c>
      <c r="H75" s="15" t="s">
        <v>257</v>
      </c>
    </row>
    <row r="76" ht="20" customHeight="1" spans="1:8" x14ac:dyDescent="0.25">
      <c r="A76" s="16" t="s">
        <v>285</v>
      </c>
      <c r="B76" s="17" t="s">
        <v>603</v>
      </c>
      <c r="C76" s="16" t="s">
        <v>670</v>
      </c>
      <c r="D76" s="17" t="s">
        <v>906</v>
      </c>
      <c r="E76" s="17" t="s">
        <v>681</v>
      </c>
      <c r="F76" s="17" t="s">
        <v>96</v>
      </c>
      <c r="G76" s="17" t="s">
        <v>65</v>
      </c>
      <c r="H76" s="17" t="s">
        <v>287</v>
      </c>
    </row>
    <row r="77" ht="20" customHeight="1" spans="1:8" x14ac:dyDescent="0.25">
      <c r="A77" s="14" t="s">
        <v>285</v>
      </c>
      <c r="B77" s="15" t="s">
        <v>603</v>
      </c>
      <c r="C77" s="14" t="s">
        <v>670</v>
      </c>
      <c r="D77" s="15" t="s">
        <v>907</v>
      </c>
      <c r="E77" s="15" t="s">
        <v>908</v>
      </c>
      <c r="F77" s="15" t="s">
        <v>96</v>
      </c>
      <c r="G77" s="15" t="s">
        <v>909</v>
      </c>
      <c r="H77" s="15" t="s">
        <v>287</v>
      </c>
    </row>
    <row r="78" ht="20" customHeight="1" spans="1:8" x14ac:dyDescent="0.25">
      <c r="A78" s="16" t="s">
        <v>285</v>
      </c>
      <c r="B78" s="17" t="s">
        <v>603</v>
      </c>
      <c r="C78" s="16" t="s">
        <v>59</v>
      </c>
      <c r="D78" s="17" t="s">
        <v>910</v>
      </c>
      <c r="E78" s="17" t="s">
        <v>185</v>
      </c>
      <c r="F78" s="17" t="s">
        <v>96</v>
      </c>
      <c r="G78" s="17" t="s">
        <v>911</v>
      </c>
      <c r="H78" s="17" t="s">
        <v>280</v>
      </c>
    </row>
    <row r="79" ht="20" customHeight="1" spans="1:8" x14ac:dyDescent="0.25">
      <c r="A79" s="14" t="s">
        <v>366</v>
      </c>
      <c r="B79" s="15" t="s">
        <v>363</v>
      </c>
      <c r="C79" s="14" t="s">
        <v>783</v>
      </c>
      <c r="D79" s="15" t="s">
        <v>912</v>
      </c>
      <c r="E79" s="15" t="s">
        <v>681</v>
      </c>
      <c r="F79" s="15" t="s">
        <v>913</v>
      </c>
      <c r="G79" s="15" t="s">
        <v>914</v>
      </c>
      <c r="H79" s="15" t="s">
        <v>361</v>
      </c>
    </row>
    <row r="80" ht="20" customHeight="1" spans="1:8" x14ac:dyDescent="0.25">
      <c r="A80" s="16" t="s">
        <v>366</v>
      </c>
      <c r="B80" s="17" t="s">
        <v>363</v>
      </c>
      <c r="C80" s="16" t="s">
        <v>788</v>
      </c>
      <c r="D80" s="17" t="s">
        <v>915</v>
      </c>
      <c r="E80" s="17" t="s">
        <v>916</v>
      </c>
      <c r="F80" s="17" t="s">
        <v>917</v>
      </c>
      <c r="G80" s="17" t="s">
        <v>918</v>
      </c>
      <c r="H80" s="17" t="s">
        <v>919</v>
      </c>
    </row>
    <row r="81" ht="50" customHeight="1" spans="1:8" x14ac:dyDescent="0.25">
      <c r="A81" s="14" t="s">
        <v>366</v>
      </c>
      <c r="B81" s="15" t="s">
        <v>363</v>
      </c>
      <c r="C81" s="14" t="s">
        <v>867</v>
      </c>
      <c r="D81" s="15" t="s">
        <v>37</v>
      </c>
      <c r="E81" s="15" t="s">
        <v>681</v>
      </c>
      <c r="F81" s="15" t="s">
        <v>920</v>
      </c>
      <c r="G81" s="15" t="s">
        <v>921</v>
      </c>
      <c r="H81" s="15" t="s">
        <v>361</v>
      </c>
    </row>
    <row r="82" ht="20" customHeight="1" spans="1:8" x14ac:dyDescent="0.25">
      <c r="A82" s="16" t="s">
        <v>366</v>
      </c>
      <c r="B82" s="17" t="s">
        <v>363</v>
      </c>
      <c r="C82" s="16" t="s">
        <v>867</v>
      </c>
      <c r="D82" s="17" t="s">
        <v>922</v>
      </c>
      <c r="E82" s="17" t="s">
        <v>734</v>
      </c>
      <c r="F82" s="17" t="s">
        <v>923</v>
      </c>
      <c r="G82" s="17" t="s">
        <v>924</v>
      </c>
      <c r="H82" s="17" t="s">
        <v>361</v>
      </c>
    </row>
    <row r="83" ht="35" customHeight="1" spans="1:8" x14ac:dyDescent="0.25">
      <c r="A83" s="14" t="s">
        <v>317</v>
      </c>
      <c r="B83" s="15" t="s">
        <v>625</v>
      </c>
      <c r="C83" s="14" t="s">
        <v>665</v>
      </c>
      <c r="D83" s="15" t="s">
        <v>925</v>
      </c>
      <c r="E83" s="15" t="s">
        <v>926</v>
      </c>
      <c r="F83" s="15" t="s">
        <v>927</v>
      </c>
      <c r="G83" s="15" t="s">
        <v>928</v>
      </c>
      <c r="H83" s="15" t="s">
        <v>312</v>
      </c>
    </row>
    <row r="84" ht="20" customHeight="1" spans="1:8" x14ac:dyDescent="0.25">
      <c r="A84" s="16" t="s">
        <v>317</v>
      </c>
      <c r="B84" s="17" t="s">
        <v>625</v>
      </c>
      <c r="C84" s="16" t="s">
        <v>670</v>
      </c>
      <c r="D84" s="17" t="s">
        <v>929</v>
      </c>
      <c r="E84" s="17" t="s">
        <v>837</v>
      </c>
      <c r="F84" s="17" t="s">
        <v>930</v>
      </c>
      <c r="G84" s="17" t="s">
        <v>96</v>
      </c>
      <c r="H84" s="17" t="s">
        <v>312</v>
      </c>
    </row>
    <row r="85" ht="20" customHeight="1" spans="1:8" x14ac:dyDescent="0.25">
      <c r="A85" s="14" t="s">
        <v>317</v>
      </c>
      <c r="B85" s="15" t="s">
        <v>625</v>
      </c>
      <c r="C85" s="14" t="s">
        <v>708</v>
      </c>
      <c r="D85" s="15" t="s">
        <v>931</v>
      </c>
      <c r="E85" s="15" t="s">
        <v>837</v>
      </c>
      <c r="F85" s="15" t="s">
        <v>932</v>
      </c>
      <c r="G85" s="15" t="s">
        <v>96</v>
      </c>
      <c r="H85" s="15" t="s">
        <v>312</v>
      </c>
    </row>
    <row r="86" ht="65" customHeight="1" spans="1:8" x14ac:dyDescent="0.25">
      <c r="A86" s="16" t="s">
        <v>353</v>
      </c>
      <c r="B86" s="17" t="s">
        <v>350</v>
      </c>
      <c r="C86" s="16" t="s">
        <v>665</v>
      </c>
      <c r="D86" s="17" t="s">
        <v>830</v>
      </c>
      <c r="E86" s="17" t="s">
        <v>933</v>
      </c>
      <c r="F86" s="17" t="s">
        <v>934</v>
      </c>
      <c r="G86" s="17" t="s">
        <v>935</v>
      </c>
      <c r="H86" s="17" t="s">
        <v>348</v>
      </c>
    </row>
    <row r="87" ht="50" customHeight="1" spans="1:8" x14ac:dyDescent="0.25">
      <c r="A87" s="14" t="s">
        <v>353</v>
      </c>
      <c r="B87" s="15" t="s">
        <v>350</v>
      </c>
      <c r="C87" s="14" t="s">
        <v>670</v>
      </c>
      <c r="D87" s="15" t="s">
        <v>936</v>
      </c>
      <c r="E87" s="15" t="s">
        <v>937</v>
      </c>
      <c r="F87" s="15" t="s">
        <v>938</v>
      </c>
      <c r="G87" s="15" t="s">
        <v>939</v>
      </c>
      <c r="H87" s="15" t="s">
        <v>643</v>
      </c>
    </row>
    <row r="88" ht="20" customHeight="1" spans="1:8" x14ac:dyDescent="0.25">
      <c r="A88" s="16" t="s">
        <v>353</v>
      </c>
      <c r="B88" s="17" t="s">
        <v>350</v>
      </c>
      <c r="C88" s="16" t="s">
        <v>670</v>
      </c>
      <c r="D88" s="17" t="s">
        <v>940</v>
      </c>
      <c r="E88" s="17" t="s">
        <v>937</v>
      </c>
      <c r="F88" s="17" t="s">
        <v>941</v>
      </c>
      <c r="G88" s="17" t="s">
        <v>942</v>
      </c>
      <c r="H88" s="17" t="s">
        <v>643</v>
      </c>
    </row>
    <row r="89" ht="20" customHeight="1" spans="1:8" x14ac:dyDescent="0.25">
      <c r="A89" s="14" t="s">
        <v>353</v>
      </c>
      <c r="B89" s="15" t="s">
        <v>350</v>
      </c>
      <c r="C89" s="14" t="s">
        <v>670</v>
      </c>
      <c r="D89" s="15" t="s">
        <v>943</v>
      </c>
      <c r="E89" s="15" t="s">
        <v>710</v>
      </c>
      <c r="F89" s="15" t="s">
        <v>944</v>
      </c>
      <c r="G89" s="15" t="s">
        <v>945</v>
      </c>
      <c r="H89" s="15" t="s">
        <v>343</v>
      </c>
    </row>
    <row r="90" ht="35" customHeight="1" spans="1:8" x14ac:dyDescent="0.25">
      <c r="A90" s="16" t="s">
        <v>353</v>
      </c>
      <c r="B90" s="17" t="s">
        <v>350</v>
      </c>
      <c r="C90" s="16" t="s">
        <v>670</v>
      </c>
      <c r="D90" s="17" t="s">
        <v>946</v>
      </c>
      <c r="E90" s="17" t="s">
        <v>837</v>
      </c>
      <c r="F90" s="17" t="s">
        <v>947</v>
      </c>
      <c r="G90" s="17" t="s">
        <v>948</v>
      </c>
      <c r="H90" s="17" t="s">
        <v>348</v>
      </c>
    </row>
    <row r="91" ht="35" customHeight="1" spans="1:8" x14ac:dyDescent="0.25">
      <c r="A91" s="14" t="s">
        <v>359</v>
      </c>
      <c r="B91" s="15" t="s">
        <v>650</v>
      </c>
      <c r="C91" s="14" t="s">
        <v>670</v>
      </c>
      <c r="D91" s="15" t="s">
        <v>949</v>
      </c>
      <c r="E91" s="15" t="s">
        <v>837</v>
      </c>
      <c r="F91" s="15" t="s">
        <v>950</v>
      </c>
      <c r="G91" s="15" t="s">
        <v>951</v>
      </c>
      <c r="H91" s="15" t="s">
        <v>952</v>
      </c>
    </row>
    <row r="92" ht="35" customHeight="1" spans="1:8" x14ac:dyDescent="0.25">
      <c r="A92" s="16" t="s">
        <v>359</v>
      </c>
      <c r="B92" s="17" t="s">
        <v>650</v>
      </c>
      <c r="C92" s="16" t="s">
        <v>670</v>
      </c>
      <c r="D92" s="17" t="s">
        <v>953</v>
      </c>
      <c r="E92" s="17" t="s">
        <v>954</v>
      </c>
      <c r="F92" s="17" t="s">
        <v>955</v>
      </c>
      <c r="G92" s="17" t="s">
        <v>956</v>
      </c>
      <c r="H92" s="17" t="s">
        <v>354</v>
      </c>
    </row>
  </sheetData>
  <autoFilter ref="A4:H92"/>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7"/>
  <sheetViews>
    <sheetView workbookViewId="0" showGridLines="0"/>
  </sheetViews>
  <sheetFormatPr defaultRowHeight="15" outlineLevelRow="0" outlineLevelCol="0" x14ac:dyDescent="55"/>
  <cols>
    <col min="1" max="1" width="16" customWidth="1"/>
    <col min="2" max="2" width="10" customWidth="1"/>
    <col min="3" max="3" width="18" customWidth="1"/>
    <col min="4" max="4" width="20" customWidth="1"/>
    <col min="5" max="5" width="56" customWidth="1"/>
  </cols>
  <sheetData>
    <row r="1" ht="30" customHeight="1" spans="1:1" x14ac:dyDescent="0.25">
      <c r="A1" s="1" t="s">
        <v>50</v>
      </c>
    </row>
    <row r="2" spans="1:1" x14ac:dyDescent="0.25">
      <c r="A2" s="2" t="s">
        <v>957</v>
      </c>
    </row>
    <row r="4" ht="22" customHeight="1" spans="1:1" x14ac:dyDescent="0.25">
      <c r="A4" s="3" t="s">
        <v>958</v>
      </c>
    </row>
    <row r="5" ht="24" customHeight="1" spans="1:5" x14ac:dyDescent="0.25">
      <c r="A5" s="7" t="s">
        <v>959</v>
      </c>
      <c r="B5" s="7" t="s">
        <v>65</v>
      </c>
      <c r="C5" s="7" t="s">
        <v>960</v>
      </c>
      <c r="D5" s="7" t="s">
        <v>961</v>
      </c>
      <c r="E5" s="7" t="s">
        <v>962</v>
      </c>
    </row>
    <row r="6" ht="20" customHeight="1" spans="1:5" x14ac:dyDescent="0.25">
      <c r="A6" s="15" t="s">
        <v>676</v>
      </c>
      <c r="B6" s="14" t="s">
        <v>65</v>
      </c>
      <c r="C6" s="15" t="s">
        <v>963</v>
      </c>
      <c r="D6" s="15" t="s">
        <v>964</v>
      </c>
      <c r="E6" s="15" t="s">
        <v>965</v>
      </c>
    </row>
    <row r="7" ht="35" customHeight="1" spans="1:5" x14ac:dyDescent="0.25">
      <c r="A7" s="17" t="s">
        <v>966</v>
      </c>
      <c r="B7" s="16" t="s">
        <v>65</v>
      </c>
      <c r="C7" s="17" t="s">
        <v>713</v>
      </c>
      <c r="D7" s="17" t="s">
        <v>682</v>
      </c>
      <c r="E7" s="17" t="s">
        <v>967</v>
      </c>
    </row>
    <row r="8" ht="20" customHeight="1" spans="1:5" x14ac:dyDescent="0.25">
      <c r="A8" s="15" t="s">
        <v>684</v>
      </c>
      <c r="B8" s="14" t="s">
        <v>65</v>
      </c>
      <c r="C8" s="15" t="s">
        <v>713</v>
      </c>
      <c r="D8" s="15" t="s">
        <v>685</v>
      </c>
      <c r="E8" s="15" t="s">
        <v>96</v>
      </c>
    </row>
    <row r="9" ht="20" customHeight="1" spans="1:5" x14ac:dyDescent="0.25">
      <c r="A9" s="17" t="s">
        <v>968</v>
      </c>
      <c r="B9" s="16" t="s">
        <v>65</v>
      </c>
      <c r="C9" s="17" t="s">
        <v>713</v>
      </c>
      <c r="D9" s="17" t="s">
        <v>969</v>
      </c>
      <c r="E9" s="17" t="s">
        <v>96</v>
      </c>
    </row>
    <row r="10" ht="20" customHeight="1" spans="1:5" x14ac:dyDescent="0.25">
      <c r="A10" s="15" t="s">
        <v>970</v>
      </c>
      <c r="B10" s="14" t="s">
        <v>65</v>
      </c>
      <c r="C10" s="15" t="s">
        <v>713</v>
      </c>
      <c r="D10" s="15" t="s">
        <v>971</v>
      </c>
      <c r="E10" s="15" t="s">
        <v>96</v>
      </c>
    </row>
    <row r="12" ht="22" customHeight="1" spans="1:1" x14ac:dyDescent="0.25">
      <c r="A12" s="3" t="s">
        <v>972</v>
      </c>
    </row>
    <row r="13" ht="24" customHeight="1" spans="1:5" x14ac:dyDescent="0.25">
      <c r="A13" s="7" t="s">
        <v>959</v>
      </c>
      <c r="B13" s="7" t="s">
        <v>65</v>
      </c>
      <c r="C13" s="7" t="s">
        <v>960</v>
      </c>
      <c r="D13" s="7" t="s">
        <v>961</v>
      </c>
      <c r="E13" s="7" t="s">
        <v>962</v>
      </c>
    </row>
    <row r="14" ht="20" customHeight="1" spans="1:5" x14ac:dyDescent="0.25">
      <c r="A14" s="15" t="s">
        <v>966</v>
      </c>
      <c r="B14" s="14" t="s">
        <v>65</v>
      </c>
      <c r="C14" s="15" t="s">
        <v>713</v>
      </c>
      <c r="D14" s="15" t="s">
        <v>682</v>
      </c>
      <c r="E14" s="15" t="s">
        <v>973</v>
      </c>
    </row>
    <row r="15" ht="20" customHeight="1" spans="1:5" x14ac:dyDescent="0.25">
      <c r="A15" s="17" t="s">
        <v>974</v>
      </c>
      <c r="B15" s="16" t="s">
        <v>65</v>
      </c>
      <c r="C15" s="17" t="s">
        <v>713</v>
      </c>
      <c r="D15" s="17" t="s">
        <v>975</v>
      </c>
      <c r="E15" s="17" t="s">
        <v>976</v>
      </c>
    </row>
    <row r="16" ht="35" customHeight="1" spans="1:5" x14ac:dyDescent="0.25">
      <c r="A16" s="15" t="s">
        <v>977</v>
      </c>
      <c r="B16" s="14" t="s">
        <v>67</v>
      </c>
      <c r="C16" s="15" t="s">
        <v>978</v>
      </c>
      <c r="D16" s="15" t="s">
        <v>979</v>
      </c>
      <c r="E16" s="15" t="s">
        <v>980</v>
      </c>
    </row>
    <row r="17" ht="20" customHeight="1" spans="1:5" x14ac:dyDescent="0.25">
      <c r="A17" s="17" t="s">
        <v>981</v>
      </c>
      <c r="B17" s="16" t="s">
        <v>67</v>
      </c>
      <c r="C17" s="17" t="s">
        <v>982</v>
      </c>
      <c r="D17" s="17" t="s">
        <v>983</v>
      </c>
      <c r="E17" s="17" t="s">
        <v>984</v>
      </c>
    </row>
    <row r="19" ht="22" customHeight="1" spans="1:1" x14ac:dyDescent="0.25">
      <c r="A19" s="3" t="s">
        <v>985</v>
      </c>
    </row>
    <row r="20" ht="24" customHeight="1" spans="1:5" x14ac:dyDescent="0.25">
      <c r="A20" s="7" t="s">
        <v>959</v>
      </c>
      <c r="B20" s="7" t="s">
        <v>65</v>
      </c>
      <c r="C20" s="7" t="s">
        <v>960</v>
      </c>
      <c r="D20" s="7" t="s">
        <v>961</v>
      </c>
      <c r="E20" s="7" t="s">
        <v>962</v>
      </c>
    </row>
    <row r="21" ht="20" customHeight="1" spans="1:5" x14ac:dyDescent="0.25">
      <c r="A21" s="15" t="s">
        <v>676</v>
      </c>
      <c r="B21" s="14" t="s">
        <v>65</v>
      </c>
      <c r="C21" s="15" t="s">
        <v>963</v>
      </c>
      <c r="D21" s="15" t="s">
        <v>964</v>
      </c>
      <c r="E21" s="15" t="s">
        <v>986</v>
      </c>
    </row>
    <row r="22" ht="20" customHeight="1" spans="1:5" x14ac:dyDescent="0.25">
      <c r="A22" s="17" t="s">
        <v>987</v>
      </c>
      <c r="B22" s="16" t="s">
        <v>65</v>
      </c>
      <c r="C22" s="17" t="s">
        <v>713</v>
      </c>
      <c r="D22" s="17" t="s">
        <v>988</v>
      </c>
      <c r="E22" s="17" t="s">
        <v>989</v>
      </c>
    </row>
    <row r="23" ht="20" customHeight="1" spans="1:5" x14ac:dyDescent="0.25">
      <c r="A23" s="15" t="s">
        <v>684</v>
      </c>
      <c r="B23" s="14" t="s">
        <v>65</v>
      </c>
      <c r="C23" s="15" t="s">
        <v>713</v>
      </c>
      <c r="D23" s="15" t="s">
        <v>990</v>
      </c>
      <c r="E23" s="15" t="s">
        <v>96</v>
      </c>
    </row>
    <row r="24" ht="20" customHeight="1" spans="1:5" x14ac:dyDescent="0.25">
      <c r="A24" s="17" t="s">
        <v>991</v>
      </c>
      <c r="B24" s="16" t="s">
        <v>65</v>
      </c>
      <c r="C24" s="17" t="s">
        <v>992</v>
      </c>
      <c r="D24" s="17" t="s">
        <v>993</v>
      </c>
      <c r="E24" s="17" t="s">
        <v>994</v>
      </c>
    </row>
    <row r="25" ht="20" customHeight="1" spans="1:5" x14ac:dyDescent="0.25">
      <c r="A25" s="15" t="s">
        <v>273</v>
      </c>
      <c r="B25" s="14" t="s">
        <v>67</v>
      </c>
      <c r="C25" s="15" t="s">
        <v>995</v>
      </c>
      <c r="D25" s="15" t="s">
        <v>996</v>
      </c>
      <c r="E25" s="15" t="s">
        <v>997</v>
      </c>
    </row>
    <row r="27" ht="22" customHeight="1" spans="1:1" x14ac:dyDescent="0.25">
      <c r="A27" s="3" t="s">
        <v>998</v>
      </c>
    </row>
    <row r="28" ht="24" customHeight="1" spans="1:5" x14ac:dyDescent="0.25">
      <c r="A28" s="7" t="s">
        <v>959</v>
      </c>
      <c r="B28" s="7" t="s">
        <v>65</v>
      </c>
      <c r="C28" s="7" t="s">
        <v>960</v>
      </c>
      <c r="D28" s="7" t="s">
        <v>961</v>
      </c>
      <c r="E28" s="7" t="s">
        <v>962</v>
      </c>
    </row>
    <row r="29" ht="20" customHeight="1" spans="1:5" x14ac:dyDescent="0.25">
      <c r="A29" s="15" t="s">
        <v>999</v>
      </c>
      <c r="B29" s="14" t="s">
        <v>65</v>
      </c>
      <c r="C29" s="15" t="s">
        <v>713</v>
      </c>
      <c r="D29" s="15" t="s">
        <v>1000</v>
      </c>
      <c r="E29" s="15" t="s">
        <v>1001</v>
      </c>
    </row>
    <row r="30" ht="20" customHeight="1" spans="1:5" x14ac:dyDescent="0.25">
      <c r="A30" s="17" t="s">
        <v>1002</v>
      </c>
      <c r="B30" s="16" t="s">
        <v>65</v>
      </c>
      <c r="C30" s="17" t="s">
        <v>1003</v>
      </c>
      <c r="D30" s="17" t="s">
        <v>1004</v>
      </c>
      <c r="E30" s="17" t="s">
        <v>1005</v>
      </c>
    </row>
    <row r="31" ht="20" customHeight="1" spans="1:5" x14ac:dyDescent="0.25">
      <c r="A31" s="15" t="s">
        <v>1006</v>
      </c>
      <c r="B31" s="14" t="s">
        <v>65</v>
      </c>
      <c r="C31" s="15" t="s">
        <v>1003</v>
      </c>
      <c r="D31" s="15" t="s">
        <v>1007</v>
      </c>
      <c r="E31" s="15" t="s">
        <v>96</v>
      </c>
    </row>
    <row r="32" ht="20" customHeight="1" spans="1:5" x14ac:dyDescent="0.25">
      <c r="A32" s="17" t="s">
        <v>1008</v>
      </c>
      <c r="B32" s="16" t="s">
        <v>67</v>
      </c>
      <c r="C32" s="17" t="s">
        <v>1009</v>
      </c>
      <c r="D32" s="17" t="s">
        <v>1010</v>
      </c>
      <c r="E32" s="17" t="s">
        <v>1011</v>
      </c>
    </row>
    <row r="34" ht="22" customHeight="1" spans="1:1" x14ac:dyDescent="0.25">
      <c r="A34" s="3" t="s">
        <v>1012</v>
      </c>
    </row>
    <row r="35" ht="24" customHeight="1" spans="1:5" x14ac:dyDescent="0.25">
      <c r="A35" s="7" t="s">
        <v>959</v>
      </c>
      <c r="B35" s="7" t="s">
        <v>65</v>
      </c>
      <c r="C35" s="7" t="s">
        <v>960</v>
      </c>
      <c r="D35" s="7" t="s">
        <v>961</v>
      </c>
      <c r="E35" s="7" t="s">
        <v>962</v>
      </c>
    </row>
    <row r="36" ht="20" customHeight="1" spans="1:5" x14ac:dyDescent="0.25">
      <c r="A36" s="15" t="s">
        <v>974</v>
      </c>
      <c r="B36" s="14" t="s">
        <v>65</v>
      </c>
      <c r="C36" s="15" t="s">
        <v>713</v>
      </c>
      <c r="D36" s="15" t="s">
        <v>975</v>
      </c>
      <c r="E36" s="15" t="s">
        <v>1013</v>
      </c>
    </row>
    <row r="37" ht="20" customHeight="1" spans="1:5" x14ac:dyDescent="0.25">
      <c r="A37" s="17" t="s">
        <v>977</v>
      </c>
      <c r="B37" s="16" t="s">
        <v>65</v>
      </c>
      <c r="C37" s="17" t="s">
        <v>978</v>
      </c>
      <c r="D37" s="17" t="s">
        <v>979</v>
      </c>
      <c r="E37" s="17" t="s">
        <v>96</v>
      </c>
    </row>
    <row r="38" ht="20" customHeight="1" spans="1:5" x14ac:dyDescent="0.25">
      <c r="A38" s="15" t="s">
        <v>981</v>
      </c>
      <c r="B38" s="14" t="s">
        <v>65</v>
      </c>
      <c r="C38" s="15" t="s">
        <v>982</v>
      </c>
      <c r="D38" s="15" t="s">
        <v>983</v>
      </c>
      <c r="E38" s="15" t="s">
        <v>1014</v>
      </c>
    </row>
    <row r="39" ht="20" customHeight="1" spans="1:5" x14ac:dyDescent="0.25">
      <c r="A39" s="17" t="s">
        <v>1015</v>
      </c>
      <c r="B39" s="16" t="s">
        <v>65</v>
      </c>
      <c r="C39" s="17" t="s">
        <v>1016</v>
      </c>
      <c r="D39" s="17" t="s">
        <v>1017</v>
      </c>
      <c r="E39" s="17" t="s">
        <v>1018</v>
      </c>
    </row>
    <row r="40" ht="20" customHeight="1" spans="1:5" x14ac:dyDescent="0.25">
      <c r="A40" s="15" t="s">
        <v>1019</v>
      </c>
      <c r="B40" s="14" t="s">
        <v>65</v>
      </c>
      <c r="C40" s="15" t="s">
        <v>1016</v>
      </c>
      <c r="D40" s="15" t="s">
        <v>1020</v>
      </c>
      <c r="E40" s="15" t="s">
        <v>1021</v>
      </c>
    </row>
    <row r="41" ht="20" customHeight="1" spans="1:5" x14ac:dyDescent="0.25">
      <c r="A41" s="17" t="s">
        <v>999</v>
      </c>
      <c r="B41" s="16" t="s">
        <v>65</v>
      </c>
      <c r="C41" s="17" t="s">
        <v>713</v>
      </c>
      <c r="D41" s="17" t="s">
        <v>1000</v>
      </c>
      <c r="E41" s="17" t="s">
        <v>1022</v>
      </c>
    </row>
    <row r="43" ht="22" customHeight="1" spans="1:1" x14ac:dyDescent="0.25">
      <c r="A43" s="3" t="s">
        <v>1023</v>
      </c>
    </row>
    <row r="44" ht="24" customHeight="1" spans="1:5" x14ac:dyDescent="0.25">
      <c r="A44" s="7" t="s">
        <v>959</v>
      </c>
      <c r="B44" s="7" t="s">
        <v>1024</v>
      </c>
      <c r="C44" s="7" t="s">
        <v>961</v>
      </c>
      <c r="D44" s="7" t="s">
        <v>1025</v>
      </c>
      <c r="E44" s="7" t="s">
        <v>1026</v>
      </c>
    </row>
    <row r="45" ht="20" customHeight="1" spans="1:5" x14ac:dyDescent="0.25">
      <c r="A45" s="15" t="s">
        <v>966</v>
      </c>
      <c r="B45" s="14">
        <v>1</v>
      </c>
      <c r="C45" s="15" t="s">
        <v>682</v>
      </c>
      <c r="D45" s="14" t="s">
        <v>1027</v>
      </c>
      <c r="E45" s="15" t="s">
        <v>1028</v>
      </c>
    </row>
    <row r="46" ht="20" customHeight="1" spans="1:5" x14ac:dyDescent="0.25">
      <c r="A46" s="17" t="s">
        <v>684</v>
      </c>
      <c r="B46" s="16">
        <v>2</v>
      </c>
      <c r="C46" s="17" t="s">
        <v>685</v>
      </c>
      <c r="D46" s="16" t="s">
        <v>1027</v>
      </c>
      <c r="E46" s="17" t="s">
        <v>1029</v>
      </c>
    </row>
    <row r="47" ht="20" customHeight="1" spans="1:5" x14ac:dyDescent="0.25">
      <c r="A47" s="15" t="s">
        <v>1030</v>
      </c>
      <c r="B47" s="14">
        <v>3</v>
      </c>
      <c r="C47" s="15" t="s">
        <v>1031</v>
      </c>
      <c r="D47" s="14" t="s">
        <v>1027</v>
      </c>
      <c r="E47" s="15" t="s">
        <v>1032</v>
      </c>
    </row>
    <row r="48" ht="20" customHeight="1" spans="1:5" x14ac:dyDescent="0.25">
      <c r="A48" s="17" t="s">
        <v>977</v>
      </c>
      <c r="B48" s="16">
        <v>4</v>
      </c>
      <c r="C48" s="17" t="s">
        <v>1033</v>
      </c>
      <c r="D48" s="16" t="s">
        <v>1027</v>
      </c>
      <c r="E48" s="17" t="s">
        <v>1034</v>
      </c>
    </row>
    <row r="49" ht="20" customHeight="1" spans="1:5" x14ac:dyDescent="0.25">
      <c r="A49" s="15" t="s">
        <v>1035</v>
      </c>
      <c r="B49" s="14">
        <v>5</v>
      </c>
      <c r="C49" s="15" t="s">
        <v>135</v>
      </c>
      <c r="D49" s="14" t="s">
        <v>1027</v>
      </c>
      <c r="E49" s="15" t="s">
        <v>1036</v>
      </c>
    </row>
    <row r="50" ht="35" customHeight="1" spans="1:5" x14ac:dyDescent="0.25">
      <c r="A50" s="17" t="s">
        <v>1037</v>
      </c>
      <c r="B50" s="16">
        <v>6</v>
      </c>
      <c r="C50" s="17" t="s">
        <v>1038</v>
      </c>
      <c r="D50" s="16" t="s">
        <v>1027</v>
      </c>
      <c r="E50" s="17" t="s">
        <v>1039</v>
      </c>
    </row>
    <row r="51" ht="20" customHeight="1" spans="1:5" x14ac:dyDescent="0.25">
      <c r="A51" s="15" t="s">
        <v>676</v>
      </c>
      <c r="B51" s="14">
        <v>7</v>
      </c>
      <c r="C51" s="15" t="s">
        <v>964</v>
      </c>
      <c r="D51" s="14" t="s">
        <v>1040</v>
      </c>
      <c r="E51" s="15" t="s">
        <v>1041</v>
      </c>
    </row>
    <row r="52" ht="20" customHeight="1" spans="1:5" x14ac:dyDescent="0.25">
      <c r="A52" s="17" t="s">
        <v>981</v>
      </c>
      <c r="B52" s="16">
        <v>8</v>
      </c>
      <c r="C52" s="17" t="s">
        <v>983</v>
      </c>
      <c r="D52" s="16" t="s">
        <v>1040</v>
      </c>
      <c r="E52" s="17" t="s">
        <v>1042</v>
      </c>
    </row>
    <row r="53" ht="20" customHeight="1" spans="1:5" x14ac:dyDescent="0.25">
      <c r="A53" s="15" t="s">
        <v>974</v>
      </c>
      <c r="B53" s="14">
        <v>9</v>
      </c>
      <c r="C53" s="15" t="s">
        <v>975</v>
      </c>
      <c r="D53" s="14" t="s">
        <v>1040</v>
      </c>
      <c r="E53" s="15" t="s">
        <v>1043</v>
      </c>
    </row>
    <row r="54" ht="20" customHeight="1" spans="1:5" x14ac:dyDescent="0.25">
      <c r="A54" s="17" t="s">
        <v>1044</v>
      </c>
      <c r="B54" s="16">
        <v>10</v>
      </c>
      <c r="C54" s="17" t="s">
        <v>1045</v>
      </c>
      <c r="D54" s="16" t="s">
        <v>1040</v>
      </c>
      <c r="E54" s="17" t="s">
        <v>1046</v>
      </c>
    </row>
    <row r="55" ht="20" customHeight="1" spans="1:5" x14ac:dyDescent="0.25">
      <c r="A55" s="15" t="s">
        <v>1047</v>
      </c>
      <c r="B55" s="14">
        <v>11</v>
      </c>
      <c r="C55" s="15" t="s">
        <v>1048</v>
      </c>
      <c r="D55" s="14" t="s">
        <v>1040</v>
      </c>
      <c r="E55" s="15" t="s">
        <v>1049</v>
      </c>
    </row>
    <row r="57" spans="1:1" x14ac:dyDescent="0.25">
      <c r="A57" s="2" t="s">
        <v>1050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showGridLines="0">
      <pane ySplit="5" topLeftCell="A6" activePane="bottomLeft" state="frozen"/>
      <selection pane="bottomLeft"/>
    </sheetView>
  </sheetViews>
  <sheetFormatPr defaultRowHeight="15" outlineLevelRow="0" outlineLevelCol="0" x14ac:dyDescent="55"/>
  <cols>
    <col min="1" max="1" width="7" customWidth="1"/>
    <col min="2" max="2" width="26" customWidth="1"/>
    <col min="3" max="3" width="54" customWidth="1"/>
    <col min="4" max="4" width="18" customWidth="1"/>
    <col min="5" max="5" width="16" customWidth="1"/>
    <col min="6" max="6" width="34" customWidth="1"/>
    <col min="7" max="7" width="10" customWidth="1"/>
  </cols>
  <sheetData>
    <row r="1" ht="30" customHeight="1" spans="1:1" x14ac:dyDescent="0.25">
      <c r="A1" s="1" t="s">
        <v>52</v>
      </c>
    </row>
    <row r="2" spans="1:1" x14ac:dyDescent="0.25">
      <c r="A2" s="2" t="s">
        <v>1051</v>
      </c>
    </row>
    <row r="3" spans="1:1" x14ac:dyDescent="0.25">
      <c r="A3" s="18" t="s">
        <v>61</v>
      </c>
    </row>
    <row r="5" ht="24" customHeight="1" spans="1:7" x14ac:dyDescent="0.25">
      <c r="A5" s="7" t="s">
        <v>1052</v>
      </c>
      <c r="B5" s="7" t="s">
        <v>1053</v>
      </c>
      <c r="C5" s="7" t="s">
        <v>1054</v>
      </c>
      <c r="D5" s="7" t="s">
        <v>517</v>
      </c>
      <c r="E5" s="7" t="s">
        <v>1055</v>
      </c>
      <c r="F5" s="7" t="s">
        <v>1056</v>
      </c>
      <c r="G5" s="7" t="s">
        <v>59</v>
      </c>
    </row>
    <row r="6" ht="35" customHeight="1" spans="1:7" x14ac:dyDescent="0.25">
      <c r="A6" s="14">
        <v>1</v>
      </c>
      <c r="B6" s="15" t="s">
        <v>1057</v>
      </c>
      <c r="C6" s="15" t="s">
        <v>1058</v>
      </c>
      <c r="D6" s="15" t="s">
        <v>295</v>
      </c>
      <c r="E6" s="15" t="s">
        <v>1059</v>
      </c>
      <c r="F6" s="19" t="s">
        <v>1060</v>
      </c>
      <c r="G6" s="14" t="s">
        <v>1061</v>
      </c>
    </row>
    <row r="7" ht="35" customHeight="1" spans="1:7" x14ac:dyDescent="0.25">
      <c r="A7" s="14">
        <v>2</v>
      </c>
      <c r="B7" s="15" t="s">
        <v>1062</v>
      </c>
      <c r="C7" s="15" t="s">
        <v>1063</v>
      </c>
      <c r="D7" s="15" t="s">
        <v>239</v>
      </c>
      <c r="E7" s="15" t="s">
        <v>1064</v>
      </c>
      <c r="F7" s="19" t="s">
        <v>1065</v>
      </c>
      <c r="G7" s="14" t="s">
        <v>1061</v>
      </c>
    </row>
    <row r="8" ht="35" customHeight="1" spans="1:7" x14ac:dyDescent="0.25">
      <c r="A8" s="14">
        <v>3</v>
      </c>
      <c r="B8" s="15" t="s">
        <v>1066</v>
      </c>
      <c r="C8" s="15" t="s">
        <v>1067</v>
      </c>
      <c r="D8" s="15" t="s">
        <v>1068</v>
      </c>
      <c r="E8" s="15" t="s">
        <v>1059</v>
      </c>
      <c r="F8" s="19" t="s">
        <v>1069</v>
      </c>
      <c r="G8" s="14" t="s">
        <v>1061</v>
      </c>
    </row>
    <row r="9" ht="50" customHeight="1" spans="1:7" x14ac:dyDescent="0.25">
      <c r="A9" s="14">
        <v>4</v>
      </c>
      <c r="B9" s="15" t="s">
        <v>1070</v>
      </c>
      <c r="C9" s="15" t="s">
        <v>1071</v>
      </c>
      <c r="D9" s="15" t="s">
        <v>1072</v>
      </c>
      <c r="E9" s="15" t="s">
        <v>1059</v>
      </c>
      <c r="F9" s="19" t="s">
        <v>1073</v>
      </c>
      <c r="G9" s="14" t="s">
        <v>1061</v>
      </c>
    </row>
    <row r="10" ht="35" customHeight="1" spans="1:7" x14ac:dyDescent="0.25">
      <c r="A10" s="14">
        <v>5</v>
      </c>
      <c r="B10" s="15" t="s">
        <v>1074</v>
      </c>
      <c r="C10" s="15" t="s">
        <v>1075</v>
      </c>
      <c r="D10" s="15" t="s">
        <v>107</v>
      </c>
      <c r="E10" s="15" t="s">
        <v>1064</v>
      </c>
      <c r="F10" s="19" t="s">
        <v>1076</v>
      </c>
      <c r="G10" s="14" t="s">
        <v>1061</v>
      </c>
    </row>
    <row r="11" ht="50" customHeight="1" spans="1:7" x14ac:dyDescent="0.25">
      <c r="A11" s="14">
        <v>6</v>
      </c>
      <c r="B11" s="15" t="s">
        <v>1077</v>
      </c>
      <c r="C11" s="15" t="s">
        <v>1078</v>
      </c>
      <c r="D11" s="15" t="s">
        <v>719</v>
      </c>
      <c r="E11" s="15" t="s">
        <v>1059</v>
      </c>
      <c r="F11" s="19" t="s">
        <v>1079</v>
      </c>
      <c r="G11" s="14" t="s">
        <v>1061</v>
      </c>
    </row>
    <row r="12" ht="35" customHeight="1" spans="1:7" x14ac:dyDescent="0.25">
      <c r="A12" s="14">
        <v>7</v>
      </c>
      <c r="B12" s="15" t="s">
        <v>1080</v>
      </c>
      <c r="C12" s="15" t="s">
        <v>1081</v>
      </c>
      <c r="D12" s="15" t="s">
        <v>1082</v>
      </c>
      <c r="E12" s="15" t="s">
        <v>1059</v>
      </c>
      <c r="F12" s="19" t="s">
        <v>1083</v>
      </c>
      <c r="G12" s="14" t="s">
        <v>1061</v>
      </c>
    </row>
    <row r="13" ht="35" customHeight="1" spans="1:7" x14ac:dyDescent="0.25">
      <c r="A13" s="14">
        <v>8</v>
      </c>
      <c r="B13" s="15" t="s">
        <v>1084</v>
      </c>
      <c r="C13" s="15" t="s">
        <v>1085</v>
      </c>
      <c r="D13" s="15" t="s">
        <v>1086</v>
      </c>
      <c r="E13" s="15" t="s">
        <v>1059</v>
      </c>
      <c r="F13" s="19" t="s">
        <v>1087</v>
      </c>
      <c r="G13" s="14" t="s">
        <v>1061</v>
      </c>
    </row>
    <row r="14" ht="50" customHeight="1" spans="1:7" x14ac:dyDescent="0.25">
      <c r="A14" s="14">
        <v>9</v>
      </c>
      <c r="B14" s="15" t="s">
        <v>19</v>
      </c>
      <c r="C14" s="15" t="s">
        <v>1088</v>
      </c>
      <c r="D14" s="15" t="s">
        <v>489</v>
      </c>
      <c r="E14" s="15" t="s">
        <v>1089</v>
      </c>
      <c r="F14" s="19" t="s">
        <v>1090</v>
      </c>
      <c r="G14" s="14" t="s">
        <v>1061</v>
      </c>
    </row>
    <row r="15" ht="95" customHeight="1" spans="1:7" x14ac:dyDescent="0.25">
      <c r="A15" s="14">
        <v>10</v>
      </c>
      <c r="B15" s="15" t="s">
        <v>1091</v>
      </c>
      <c r="C15" s="15" t="s">
        <v>1092</v>
      </c>
      <c r="D15" s="15" t="s">
        <v>1093</v>
      </c>
      <c r="E15" s="15" t="s">
        <v>1059</v>
      </c>
      <c r="F15" s="19" t="s">
        <v>1094</v>
      </c>
      <c r="G15" s="14" t="s">
        <v>1061</v>
      </c>
    </row>
    <row r="16" ht="35" customHeight="1" spans="1:7" x14ac:dyDescent="0.25">
      <c r="A16" s="14">
        <v>11</v>
      </c>
      <c r="B16" s="15" t="s">
        <v>1095</v>
      </c>
      <c r="C16" s="15" t="s">
        <v>1096</v>
      </c>
      <c r="D16" s="15" t="s">
        <v>1097</v>
      </c>
      <c r="E16" s="15" t="s">
        <v>73</v>
      </c>
      <c r="F16" s="19" t="s">
        <v>1098</v>
      </c>
      <c r="G16" s="14" t="s">
        <v>1061</v>
      </c>
    </row>
    <row r="17" ht="35" customHeight="1" spans="1:7" x14ac:dyDescent="0.25">
      <c r="A17" s="14">
        <v>12</v>
      </c>
      <c r="B17" s="15" t="s">
        <v>1099</v>
      </c>
      <c r="C17" s="15" t="s">
        <v>1100</v>
      </c>
      <c r="D17" s="15" t="s">
        <v>453</v>
      </c>
      <c r="E17" s="15" t="s">
        <v>1059</v>
      </c>
      <c r="F17" s="19" t="s">
        <v>1101</v>
      </c>
      <c r="G17" s="14" t="s">
        <v>1061</v>
      </c>
    </row>
    <row r="18" ht="35" customHeight="1" spans="1:7" x14ac:dyDescent="0.25">
      <c r="A18" s="14">
        <v>13</v>
      </c>
      <c r="B18" s="15" t="s">
        <v>1102</v>
      </c>
      <c r="C18" s="15" t="s">
        <v>1103</v>
      </c>
      <c r="D18" s="15" t="s">
        <v>1104</v>
      </c>
      <c r="E18" s="15" t="s">
        <v>1059</v>
      </c>
      <c r="F18" s="19" t="s">
        <v>1105</v>
      </c>
      <c r="G18" s="14" t="s">
        <v>1061</v>
      </c>
    </row>
    <row r="19" ht="35" customHeight="1" spans="1:7" x14ac:dyDescent="0.25">
      <c r="A19" s="14">
        <v>14</v>
      </c>
      <c r="B19" s="15" t="s">
        <v>1106</v>
      </c>
      <c r="C19" s="15" t="s">
        <v>1107</v>
      </c>
      <c r="D19" s="15" t="s">
        <v>419</v>
      </c>
      <c r="E19" s="15" t="s">
        <v>1108</v>
      </c>
      <c r="F19" s="19" t="s">
        <v>1109</v>
      </c>
      <c r="G19" s="14" t="s">
        <v>1061</v>
      </c>
    </row>
    <row r="20" ht="80" customHeight="1" spans="1:7" x14ac:dyDescent="0.25">
      <c r="A20" s="14">
        <v>15</v>
      </c>
      <c r="B20" s="15" t="s">
        <v>1110</v>
      </c>
      <c r="C20" s="15" t="s">
        <v>1111</v>
      </c>
      <c r="D20" s="15" t="s">
        <v>1112</v>
      </c>
      <c r="E20" s="15" t="s">
        <v>1059</v>
      </c>
      <c r="F20" s="19" t="s">
        <v>1113</v>
      </c>
      <c r="G20" s="14" t="s">
        <v>1061</v>
      </c>
    </row>
    <row r="21" ht="50" customHeight="1" spans="1:7" x14ac:dyDescent="0.25">
      <c r="A21" s="14">
        <v>16</v>
      </c>
      <c r="B21" s="15" t="s">
        <v>1114</v>
      </c>
      <c r="C21" s="15" t="s">
        <v>1115</v>
      </c>
      <c r="D21" s="15" t="s">
        <v>1116</v>
      </c>
      <c r="E21" s="15" t="s">
        <v>1059</v>
      </c>
      <c r="F21" s="19" t="s">
        <v>1117</v>
      </c>
      <c r="G21" s="14" t="s">
        <v>1061</v>
      </c>
    </row>
    <row r="22" ht="50" customHeight="1" spans="1:7" x14ac:dyDescent="0.25">
      <c r="A22" s="14">
        <v>17</v>
      </c>
      <c r="B22" s="15" t="s">
        <v>1118</v>
      </c>
      <c r="C22" s="15" t="s">
        <v>1119</v>
      </c>
      <c r="D22" s="15" t="s">
        <v>643</v>
      </c>
      <c r="E22" s="15" t="s">
        <v>1059</v>
      </c>
      <c r="F22" s="19" t="s">
        <v>1120</v>
      </c>
      <c r="G22" s="14" t="s">
        <v>1061</v>
      </c>
    </row>
    <row r="23" ht="50" customHeight="1" spans="1:7" x14ac:dyDescent="0.25">
      <c r="A23" s="14">
        <v>18</v>
      </c>
      <c r="B23" s="15" t="s">
        <v>1121</v>
      </c>
      <c r="C23" s="15" t="s">
        <v>1122</v>
      </c>
      <c r="D23" s="15" t="s">
        <v>1123</v>
      </c>
      <c r="E23" s="15" t="s">
        <v>1059</v>
      </c>
      <c r="F23" s="19" t="s">
        <v>1124</v>
      </c>
      <c r="G23" s="14" t="s">
        <v>1061</v>
      </c>
    </row>
    <row r="24" ht="35" customHeight="1" spans="1:7" x14ac:dyDescent="0.25">
      <c r="A24" s="14">
        <v>19</v>
      </c>
      <c r="B24" s="15" t="s">
        <v>37</v>
      </c>
      <c r="C24" s="15" t="s">
        <v>1125</v>
      </c>
      <c r="D24" s="15" t="s">
        <v>1126</v>
      </c>
      <c r="E24" s="15" t="s">
        <v>1059</v>
      </c>
      <c r="F24" s="19" t="s">
        <v>38</v>
      </c>
      <c r="G24" s="14" t="s">
        <v>1061</v>
      </c>
    </row>
    <row r="25" ht="35" customHeight="1" spans="1:7" x14ac:dyDescent="0.25">
      <c r="A25" s="14">
        <v>20</v>
      </c>
      <c r="B25" s="15" t="s">
        <v>39</v>
      </c>
      <c r="C25" s="15" t="s">
        <v>1127</v>
      </c>
      <c r="D25" s="15" t="s">
        <v>495</v>
      </c>
      <c r="E25" s="15" t="s">
        <v>1059</v>
      </c>
      <c r="F25" s="19" t="s">
        <v>1128</v>
      </c>
      <c r="G25" s="14" t="s">
        <v>1061</v>
      </c>
    </row>
    <row r="26" ht="35" customHeight="1" spans="1:7" x14ac:dyDescent="0.25">
      <c r="A26" s="14">
        <v>21</v>
      </c>
      <c r="B26" s="15" t="s">
        <v>666</v>
      </c>
      <c r="C26" s="15" t="s">
        <v>1129</v>
      </c>
      <c r="D26" s="15" t="s">
        <v>507</v>
      </c>
      <c r="E26" s="15" t="s">
        <v>1059</v>
      </c>
      <c r="F26" s="19" t="s">
        <v>1130</v>
      </c>
      <c r="G26" s="14" t="s">
        <v>1061</v>
      </c>
    </row>
    <row r="27" ht="20" customHeight="1" spans="1:7" x14ac:dyDescent="0.25">
      <c r="A27" s="14">
        <v>22</v>
      </c>
      <c r="B27" s="15" t="s">
        <v>1131</v>
      </c>
      <c r="C27" s="15" t="s">
        <v>1132</v>
      </c>
      <c r="D27" s="15" t="s">
        <v>185</v>
      </c>
      <c r="E27" s="15" t="s">
        <v>1059</v>
      </c>
      <c r="F27" s="19" t="s">
        <v>979</v>
      </c>
      <c r="G27" s="14" t="s">
        <v>1061</v>
      </c>
    </row>
    <row r="28" ht="35" customHeight="1" spans="1:7" x14ac:dyDescent="0.25">
      <c r="A28" s="14">
        <v>23</v>
      </c>
      <c r="B28" s="15" t="s">
        <v>1133</v>
      </c>
      <c r="C28" s="15" t="s">
        <v>1134</v>
      </c>
      <c r="D28" s="15" t="s">
        <v>262</v>
      </c>
      <c r="E28" s="15" t="s">
        <v>1059</v>
      </c>
      <c r="F28" s="19" t="s">
        <v>96</v>
      </c>
      <c r="G28" s="14" t="s">
        <v>1135</v>
      </c>
    </row>
  </sheetData>
  <conditionalFormatting sqref="G6:G100">
    <cfRule type="cellIs" dxfId="8" priority="1" operator="equal">
      <formula>"미결정"</formula>
    </cfRule>
    <cfRule type="cellIs" dxfId="9" priority="3" operator="equal">
      <formula>"확인 대기"</formula>
    </cfRule>
    <cfRule type="cellIs" dxfId="10" priority="2" operator="equal">
      <formula>"결정"</formula>
    </cfRule>
  </conditionalFormatting>
  <dataValidations count="1">
    <dataValidation type="list" allowBlank="1" sqref="G6:G100">
      <formula1>"미결정,확인 대기,결정"</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개요</vt:lpstr>
      <vt:lpstr>기능 요구사항</vt:lpstr>
      <vt:lpstr>비기능 요구사항</vt:lpstr>
      <vt:lpstr>화면 목록</vt:lpstr>
      <vt:lpstr>화면 상세</vt:lpstr>
      <vt:lpstr>엑셀 양식</vt:lpstr>
      <vt:lpstr>미확정 사항</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coss-attendance</dc:creator>
  <dc:title/>
  <dc:subject/>
  <dc:description/>
  <cp:keywords/>
  <cp:category/>
  <cp:lastModifiedBy>Unknown</cp:lastModifiedBy>
  <dcterms:created xsi:type="dcterms:W3CDTF">2026-10-28T00:00:00Z</dcterms:created>
  <dcterms:modified xsi:type="dcterms:W3CDTF">2026-10-28T16:32:18Z</dcterms:modified>
</cp:coreProperties>
</file>